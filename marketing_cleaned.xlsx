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05d941fa381b2cb/Desktop/"/>
    </mc:Choice>
  </mc:AlternateContent>
  <xr:revisionPtr revIDLastSave="54" documentId="8_{E88DE597-D98E-403F-BF2E-5127B419AB1D}" xr6:coauthVersionLast="47" xr6:coauthVersionMax="47" xr10:uidLastSave="{3F2AF294-E386-47F2-801C-A1B167DAEE7F}"/>
  <bookViews>
    <workbookView xWindow="-110" yWindow="-110" windowWidth="22620" windowHeight="13500" activeTab="1" xr2:uid="{3C41B551-8BCB-4603-ACDE-5932A4DA7D24}"/>
  </bookViews>
  <sheets>
    <sheet name="marketing_dataset" sheetId="1" r:id="rId1"/>
    <sheet name="Revenue by channel" sheetId="2" r:id="rId2"/>
    <sheet name="Conversions by gender" sheetId="3" r:id="rId3"/>
    <sheet name="Revenue by city" sheetId="4" r:id="rId4"/>
  </sheets>
  <definedNames>
    <definedName name="_xlnm._FilterDatabase" localSheetId="0" hidden="1">marketing_dataset!$A$1:$O$1001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2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2" i="1"/>
</calcChain>
</file>

<file path=xl/sharedStrings.xml><?xml version="1.0" encoding="utf-8"?>
<sst xmlns="http://schemas.openxmlformats.org/spreadsheetml/2006/main" count="4038" uniqueCount="43">
  <si>
    <t>CustomerID</t>
  </si>
  <si>
    <t>Age</t>
  </si>
  <si>
    <t>Gender</t>
  </si>
  <si>
    <t>City</t>
  </si>
  <si>
    <t>CampaignID</t>
  </si>
  <si>
    <t>Channel</t>
  </si>
  <si>
    <t>Impressions</t>
  </si>
  <si>
    <t>Clicks</t>
  </si>
  <si>
    <t>Conversions</t>
  </si>
  <si>
    <t>Revenue</t>
  </si>
  <si>
    <t>Cost</t>
  </si>
  <si>
    <t>Date</t>
  </si>
  <si>
    <t>Male</t>
  </si>
  <si>
    <t>Pune</t>
  </si>
  <si>
    <t>CMP106</t>
  </si>
  <si>
    <t>YouTube</t>
  </si>
  <si>
    <t>Mumbai</t>
  </si>
  <si>
    <t>CMP107</t>
  </si>
  <si>
    <t>Facebook</t>
  </si>
  <si>
    <t>Female</t>
  </si>
  <si>
    <t>Hyderabad</t>
  </si>
  <si>
    <t>CMP109</t>
  </si>
  <si>
    <t>Email</t>
  </si>
  <si>
    <t>Delhi</t>
  </si>
  <si>
    <t>CMP102</t>
  </si>
  <si>
    <t>CMP104</t>
  </si>
  <si>
    <t>Bangalore</t>
  </si>
  <si>
    <t>Chennai</t>
  </si>
  <si>
    <t>CMP105</t>
  </si>
  <si>
    <t>Google Ads</t>
  </si>
  <si>
    <t>CMP108</t>
  </si>
  <si>
    <t>Instagram</t>
  </si>
  <si>
    <t>CMP103</t>
  </si>
  <si>
    <t>CMP101</t>
  </si>
  <si>
    <t>CMP100</t>
  </si>
  <si>
    <t>CTR</t>
  </si>
  <si>
    <t>ROI</t>
  </si>
  <si>
    <t>Row Labels</t>
  </si>
  <si>
    <t>Grand Total</t>
  </si>
  <si>
    <t>Sum of Revenue</t>
  </si>
  <si>
    <t>Sum of Conversions</t>
  </si>
  <si>
    <t>Conversion_Rate</t>
  </si>
  <si>
    <t>45732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</si>
</sst>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&quot;₹&quot;\ #,##0"/>
    <numFmt numFmtId="165" formatCode="0_ ;\-0\ "/>
    <numFmt numFmtId="166" formatCode="[$-14009]yyyy/mm/dd;@"/>
    <numFmt numFmtId="167" formatCode="0.0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42" applyNumberFormat="1" applyFont="1" applyProtection="1">
      <protection locked="0"/>
    </xf>
    <xf numFmtId="165" fontId="0" fillId="0" borderId="0" xfId="42" applyNumberFormat="1" applyFont="1"/>
    <xf numFmtId="166" fontId="0" fillId="0" borderId="0" xfId="0" applyNumberFormat="1"/>
    <xf numFmtId="167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ruthika Reddy Rachamallu" refreshedDate="46115.78813912037" createdVersion="8" refreshedVersion="8" minRefreshableVersion="3" recordCount="1000" xr:uid="{D6762F6B-A390-476A-9434-29E170299A35}">
  <cacheSource type="worksheet">
    <worksheetSource ref="A1:O1001" sheet="marketing_dataset"/>
  </cacheSource>
  <cacheFields count="15">
    <cacheField name="CustomerID" numFmtId="0">
      <sharedItems containsSemiMixedTypes="0" containsString="0" containsNumber="1" containsInteger="1" minValue="1" maxValue="1000"/>
    </cacheField>
    <cacheField name="Age" numFmtId="0">
      <sharedItems containsSemiMixedTypes="0" containsString="0" containsNumber="1" containsInteger="1" minValue="18" maxValue="54"/>
    </cacheField>
    <cacheField name="Gender" numFmtId="0">
      <sharedItems count="2">
        <s v="Male"/>
        <s v="Female"/>
      </sharedItems>
    </cacheField>
    <cacheField name="City" numFmtId="0">
      <sharedItems count="6">
        <s v="Pune"/>
        <s v="Mumbai"/>
        <s v="Hyderabad"/>
        <s v="Delhi"/>
        <s v="Bangalore"/>
        <s v="Chennai"/>
      </sharedItems>
    </cacheField>
    <cacheField name="CampaignID" numFmtId="0">
      <sharedItems/>
    </cacheField>
    <cacheField name="Channel" numFmtId="0">
      <sharedItems count="5">
        <s v="YouTube"/>
        <s v="Facebook"/>
        <s v="Email"/>
        <s v="Google Ads"/>
        <s v="Instagram"/>
      </sharedItems>
    </cacheField>
    <cacheField name="Impressions" numFmtId="0">
      <sharedItems containsSemiMixedTypes="0" containsString="0" containsNumber="1" containsInteger="1" minValue="502" maxValue="4994"/>
    </cacheField>
    <cacheField name="Clicks" numFmtId="0">
      <sharedItems containsSemiMixedTypes="0" containsString="0" containsNumber="1" containsInteger="1" minValue="50" maxValue="499"/>
    </cacheField>
    <cacheField name="Conversions" numFmtId="0">
      <sharedItems containsSemiMixedTypes="0" containsString="0" containsNumber="1" containsInteger="1" minValue="5" maxValue="79"/>
    </cacheField>
    <cacheField name="Revenue" numFmtId="164">
      <sharedItems containsSemiMixedTypes="0" containsString="0" containsNumber="1" containsInteger="1" minValue="405" maxValue="15168"/>
    </cacheField>
    <cacheField name="Cost" numFmtId="164">
      <sharedItems containsSemiMixedTypes="0" containsString="0" containsNumber="1" containsInteger="1" minValue="200" maxValue="1995"/>
    </cacheField>
    <cacheField name="Date" numFmtId="14">
      <sharedItems containsSemiMixedTypes="0" containsNonDate="0" containsDate="1" containsString="0" minDate="2025-01-01T00:00:00" maxDate="2025-05-01T00:00:00"/>
    </cacheField>
    <cacheField name="CTR" numFmtId="10">
      <sharedItems containsSemiMixedTypes="0" containsString="0" containsNumber="1" minValue="1.0595465140919686E-2" maxValue="0.85"/>
    </cacheField>
    <cacheField name="Conversion Rate" numFmtId="10">
      <sharedItems containsSemiMixedTypes="0" containsString="0" containsNumber="1" minValue="1.0183299389002037E-2" maxValue="1.52"/>
    </cacheField>
    <cacheField name="ROI" numFmtId="10">
      <sharedItems containsSemiMixedTypes="0" containsString="0" containsNumber="1" minValue="-0.75092250922509229" maxValue="61.64814814814814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n v="36"/>
    <x v="0"/>
    <x v="0"/>
    <s v="CMP106"/>
    <x v="0"/>
    <n v="1360"/>
    <n v="320"/>
    <n v="76"/>
    <n v="7600"/>
    <n v="1924"/>
    <d v="2025-03-16T00:00:00"/>
    <n v="0.23529411764705882"/>
    <n v="0.23749999999999999"/>
    <n v="2.9501039501039501"/>
  </r>
  <r>
    <n v="2"/>
    <n v="19"/>
    <x v="0"/>
    <x v="1"/>
    <s v="CMP107"/>
    <x v="1"/>
    <n v="3944"/>
    <n v="149"/>
    <n v="28"/>
    <n v="2828"/>
    <n v="330"/>
    <d v="2025-04-18T00:00:00"/>
    <n v="3.7778904665314403E-2"/>
    <n v="0.18791946308724833"/>
    <n v="7.5696969696969694"/>
  </r>
  <r>
    <n v="3"/>
    <n v="29"/>
    <x v="1"/>
    <x v="2"/>
    <s v="CMP109"/>
    <x v="2"/>
    <n v="2933"/>
    <n v="241"/>
    <n v="64"/>
    <n v="7168"/>
    <n v="476"/>
    <d v="2025-01-22T00:00:00"/>
    <n v="8.2168428230480733E-2"/>
    <n v="0.26556016597510373"/>
    <n v="14.058823529411764"/>
  </r>
  <r>
    <n v="4"/>
    <n v="45"/>
    <x v="1"/>
    <x v="3"/>
    <s v="CMP102"/>
    <x v="2"/>
    <n v="3404"/>
    <n v="98"/>
    <n v="63"/>
    <n v="7623"/>
    <n v="710"/>
    <d v="2025-04-18T00:00:00"/>
    <n v="2.8789659224441832E-2"/>
    <n v="0.6428571428571429"/>
    <n v="9.7366197183098588"/>
  </r>
  <r>
    <n v="5"/>
    <n v="24"/>
    <x v="0"/>
    <x v="3"/>
    <s v="CMP104"/>
    <x v="1"/>
    <n v="1767"/>
    <n v="369"/>
    <n v="7"/>
    <n v="910"/>
    <n v="1708"/>
    <d v="2025-03-14T00:00:00"/>
    <n v="0.20882852292020374"/>
    <n v="1.8970189701897018E-2"/>
    <n v="-0.46721311475409838"/>
  </r>
  <r>
    <n v="6"/>
    <n v="26"/>
    <x v="1"/>
    <x v="4"/>
    <s v="CMP109"/>
    <x v="1"/>
    <n v="2935"/>
    <n v="138"/>
    <n v="64"/>
    <n v="12352"/>
    <n v="213"/>
    <d v="2025-02-22T00:00:00"/>
    <n v="4.7018739352640546E-2"/>
    <n v="0.46376811594202899"/>
    <n v="56.990610328638496"/>
  </r>
  <r>
    <n v="7"/>
    <n v="25"/>
    <x v="1"/>
    <x v="0"/>
    <s v="CMP102"/>
    <x v="1"/>
    <n v="1863"/>
    <n v="141"/>
    <n v="64"/>
    <n v="7872"/>
    <n v="1678"/>
    <d v="2025-03-19T00:00:00"/>
    <n v="7.5684380032206122E-2"/>
    <n v="0.45390070921985815"/>
    <n v="3.6912991656734206"/>
  </r>
  <r>
    <n v="8"/>
    <n v="23"/>
    <x v="1"/>
    <x v="5"/>
    <s v="CMP105"/>
    <x v="0"/>
    <n v="3652"/>
    <n v="469"/>
    <n v="54"/>
    <n v="4374"/>
    <n v="1611"/>
    <d v="2025-04-16T00:00:00"/>
    <n v="0.12842278203723986"/>
    <n v="0.11513859275053305"/>
    <n v="1.7150837988826815"/>
  </r>
  <r>
    <n v="9"/>
    <n v="51"/>
    <x v="0"/>
    <x v="1"/>
    <s v="CMP109"/>
    <x v="3"/>
    <n v="4343"/>
    <n v="359"/>
    <n v="67"/>
    <n v="11323"/>
    <n v="601"/>
    <d v="2025-03-03T00:00:00"/>
    <n v="8.2661754547547775E-2"/>
    <n v="0.18662952646239556"/>
    <n v="17.840266222961731"/>
  </r>
  <r>
    <n v="10"/>
    <n v="31"/>
    <x v="0"/>
    <x v="0"/>
    <s v="CMP106"/>
    <x v="2"/>
    <n v="1495"/>
    <n v="319"/>
    <n v="52"/>
    <n v="7852"/>
    <n v="1494"/>
    <d v="2025-03-03T00:00:00"/>
    <n v="0.21337792642140468"/>
    <n v="0.16300940438871472"/>
    <n v="4.2556894243641228"/>
  </r>
  <r>
    <n v="11"/>
    <n v="42"/>
    <x v="1"/>
    <x v="0"/>
    <s v="CMP108"/>
    <x v="1"/>
    <n v="837"/>
    <n v="416"/>
    <n v="57"/>
    <n v="5985"/>
    <n v="991"/>
    <d v="2025-01-29T00:00:00"/>
    <n v="0.49701314217443249"/>
    <n v="0.13701923076923078"/>
    <n v="5.0393541876892032"/>
  </r>
  <r>
    <n v="12"/>
    <n v="18"/>
    <x v="0"/>
    <x v="5"/>
    <s v="CMP107"/>
    <x v="3"/>
    <n v="2562"/>
    <n v="350"/>
    <n v="69"/>
    <n v="11523"/>
    <n v="720"/>
    <d v="2025-03-29T00:00:00"/>
    <n v="0.13661202185792351"/>
    <n v="0.19714285714285715"/>
    <n v="15.004166666666666"/>
  </r>
  <r>
    <n v="13"/>
    <n v="45"/>
    <x v="1"/>
    <x v="3"/>
    <s v="CMP106"/>
    <x v="4"/>
    <n v="891"/>
    <n v="212"/>
    <n v="39"/>
    <n v="3276"/>
    <n v="488"/>
    <d v="2025-03-14T00:00:00"/>
    <n v="0.23793490460157127"/>
    <n v="0.18396226415094338"/>
    <n v="5.7131147540983607"/>
  </r>
  <r>
    <n v="14"/>
    <n v="54"/>
    <x v="0"/>
    <x v="0"/>
    <s v="CMP102"/>
    <x v="2"/>
    <n v="3604"/>
    <n v="97"/>
    <n v="27"/>
    <n v="4509"/>
    <n v="1797"/>
    <d v="2025-02-13T00:00:00"/>
    <n v="2.6914539400665925E-2"/>
    <n v="0.27835051546391754"/>
    <n v="1.5091819699499165"/>
  </r>
  <r>
    <n v="15"/>
    <n v="31"/>
    <x v="0"/>
    <x v="0"/>
    <s v="CMP102"/>
    <x v="0"/>
    <n v="3273"/>
    <n v="84"/>
    <n v="69"/>
    <n v="12420"/>
    <n v="1962"/>
    <d v="2025-01-01T00:00:00"/>
    <n v="2.5664527956003668E-2"/>
    <n v="0.8214285714285714"/>
    <n v="5.330275229357798"/>
  </r>
  <r>
    <n v="16"/>
    <n v="26"/>
    <x v="0"/>
    <x v="3"/>
    <s v="CMP109"/>
    <x v="2"/>
    <n v="1528"/>
    <n v="267"/>
    <n v="18"/>
    <n v="1908"/>
    <n v="1070"/>
    <d v="2025-02-11T00:00:00"/>
    <n v="0.17473821989528796"/>
    <n v="6.741573033707865E-2"/>
    <n v="0.7831775700934579"/>
  </r>
  <r>
    <n v="17"/>
    <n v="49"/>
    <x v="0"/>
    <x v="2"/>
    <s v="CMP103"/>
    <x v="4"/>
    <n v="1984"/>
    <n v="228"/>
    <n v="67"/>
    <n v="12194"/>
    <n v="1063"/>
    <d v="2025-04-04T00:00:00"/>
    <n v="0.11491935483870967"/>
    <n v="0.29385964912280704"/>
    <n v="10.471307619943556"/>
  </r>
  <r>
    <n v="18"/>
    <n v="49"/>
    <x v="0"/>
    <x v="4"/>
    <s v="CMP106"/>
    <x v="1"/>
    <n v="2178"/>
    <n v="220"/>
    <n v="33"/>
    <n v="3036"/>
    <n v="1259"/>
    <d v="2025-02-28T00:00:00"/>
    <n v="0.10101010101010101"/>
    <n v="0.15"/>
    <n v="1.4114376489277205"/>
  </r>
  <r>
    <n v="19"/>
    <n v="23"/>
    <x v="0"/>
    <x v="3"/>
    <s v="CMP103"/>
    <x v="2"/>
    <n v="3814"/>
    <n v="135"/>
    <n v="32"/>
    <n v="3872"/>
    <n v="777"/>
    <d v="2025-01-30T00:00:00"/>
    <n v="3.5395909805977975E-2"/>
    <n v="0.23703703703703705"/>
    <n v="3.9832689832689834"/>
  </r>
  <r>
    <n v="20"/>
    <n v="44"/>
    <x v="1"/>
    <x v="3"/>
    <s v="CMP108"/>
    <x v="1"/>
    <n v="2481"/>
    <n v="380"/>
    <n v="66"/>
    <n v="5280"/>
    <n v="1448"/>
    <d v="2025-04-26T00:00:00"/>
    <n v="0.15316404675534059"/>
    <n v="0.1736842105263158"/>
    <n v="2.6464088397790055"/>
  </r>
  <r>
    <n v="21"/>
    <n v="26"/>
    <x v="0"/>
    <x v="3"/>
    <s v="CMP104"/>
    <x v="2"/>
    <n v="1782"/>
    <n v="408"/>
    <n v="74"/>
    <n v="7844"/>
    <n v="1679"/>
    <d v="2025-04-07T00:00:00"/>
    <n v="0.22895622895622897"/>
    <n v="0.18137254901960784"/>
    <n v="3.6718284693269805"/>
  </r>
  <r>
    <n v="22"/>
    <n v="29"/>
    <x v="0"/>
    <x v="4"/>
    <s v="CMP106"/>
    <x v="1"/>
    <n v="1163"/>
    <n v="364"/>
    <n v="36"/>
    <n v="6012"/>
    <n v="1831"/>
    <d v="2025-01-02T00:00:00"/>
    <n v="0.3129836629406707"/>
    <n v="9.8901098901098897E-2"/>
    <n v="2.2834516657564174"/>
  </r>
  <r>
    <n v="23"/>
    <n v="19"/>
    <x v="1"/>
    <x v="2"/>
    <s v="CMP101"/>
    <x v="0"/>
    <n v="2136"/>
    <n v="162"/>
    <n v="60"/>
    <n v="8280"/>
    <n v="1304"/>
    <d v="2025-04-02T00:00:00"/>
    <n v="7.5842696629213488E-2"/>
    <n v="0.37037037037037035"/>
    <n v="5.3496932515337425"/>
  </r>
  <r>
    <n v="24"/>
    <n v="43"/>
    <x v="1"/>
    <x v="4"/>
    <s v="CMP105"/>
    <x v="4"/>
    <n v="1354"/>
    <n v="273"/>
    <n v="5"/>
    <n v="405"/>
    <n v="1626"/>
    <d v="2025-02-01T00:00:00"/>
    <n v="0.2016248153618907"/>
    <n v="1.8315018315018316E-2"/>
    <n v="-0.75092250922509229"/>
  </r>
  <r>
    <n v="25"/>
    <n v="41"/>
    <x v="1"/>
    <x v="1"/>
    <s v="CMP104"/>
    <x v="4"/>
    <n v="4010"/>
    <n v="252"/>
    <n v="60"/>
    <n v="5760"/>
    <n v="322"/>
    <d v="2025-04-26T00:00:00"/>
    <n v="6.2842892768079806E-2"/>
    <n v="0.23809523809523808"/>
    <n v="16.888198757763973"/>
  </r>
  <r>
    <n v="26"/>
    <n v="23"/>
    <x v="0"/>
    <x v="1"/>
    <s v="CMP102"/>
    <x v="2"/>
    <n v="697"/>
    <n v="444"/>
    <n v="20"/>
    <n v="3040"/>
    <n v="808"/>
    <d v="2025-01-20T00:00:00"/>
    <n v="0.63701578192252506"/>
    <n v="4.5045045045045043E-2"/>
    <n v="2.7623762376237622"/>
  </r>
  <r>
    <n v="27"/>
    <n v="20"/>
    <x v="1"/>
    <x v="1"/>
    <s v="CMP102"/>
    <x v="1"/>
    <n v="3311"/>
    <n v="492"/>
    <n v="40"/>
    <n v="6760"/>
    <n v="602"/>
    <d v="2025-01-20T00:00:00"/>
    <n v="0.14859559045605558"/>
    <n v="8.1300813008130079E-2"/>
    <n v="10.22923588039867"/>
  </r>
  <r>
    <n v="28"/>
    <n v="35"/>
    <x v="1"/>
    <x v="1"/>
    <s v="CMP107"/>
    <x v="1"/>
    <n v="3411"/>
    <n v="248"/>
    <n v="56"/>
    <n v="6272"/>
    <n v="688"/>
    <d v="2025-01-01T00:00:00"/>
    <n v="7.2705951333919674E-2"/>
    <n v="0.22580645161290322"/>
    <n v="8.1162790697674421"/>
  </r>
  <r>
    <n v="29"/>
    <n v="47"/>
    <x v="1"/>
    <x v="2"/>
    <s v="CMP109"/>
    <x v="1"/>
    <n v="2302"/>
    <n v="490"/>
    <n v="54"/>
    <n v="5940"/>
    <n v="350"/>
    <d v="2025-04-09T00:00:00"/>
    <n v="0.21285838401390095"/>
    <n v="0.11020408163265306"/>
    <n v="15.971428571428572"/>
  </r>
  <r>
    <n v="30"/>
    <n v="19"/>
    <x v="0"/>
    <x v="5"/>
    <s v="CMP100"/>
    <x v="0"/>
    <n v="762"/>
    <n v="301"/>
    <n v="20"/>
    <n v="3820"/>
    <n v="545"/>
    <d v="2025-02-17T00:00:00"/>
    <n v="0.39501312335958005"/>
    <n v="6.6445182724252497E-2"/>
    <n v="6.0091743119266052"/>
  </r>
  <r>
    <n v="31"/>
    <n v="52"/>
    <x v="0"/>
    <x v="2"/>
    <s v="CMP102"/>
    <x v="2"/>
    <n v="4223"/>
    <n v="86"/>
    <n v="36"/>
    <n v="3168"/>
    <n v="1214"/>
    <d v="2025-02-17T00:00:00"/>
    <n v="2.0364669666114138E-2"/>
    <n v="0.41860465116279072"/>
    <n v="1.6095551894563427"/>
  </r>
  <r>
    <n v="32"/>
    <n v="50"/>
    <x v="1"/>
    <x v="4"/>
    <s v="CMP107"/>
    <x v="2"/>
    <n v="2755"/>
    <n v="180"/>
    <n v="24"/>
    <n v="3192"/>
    <n v="351"/>
    <d v="2025-04-26T00:00:00"/>
    <n v="6.5335753176043551E-2"/>
    <n v="0.13333333333333333"/>
    <n v="8.0940170940170937"/>
  </r>
  <r>
    <n v="33"/>
    <n v="52"/>
    <x v="0"/>
    <x v="4"/>
    <s v="CMP108"/>
    <x v="4"/>
    <n v="2148"/>
    <n v="469"/>
    <n v="42"/>
    <n v="6846"/>
    <n v="303"/>
    <d v="2025-04-09T00:00:00"/>
    <n v="0.21834264432029796"/>
    <n v="8.9552238805970144E-2"/>
    <n v="21.594059405940595"/>
  </r>
  <r>
    <n v="34"/>
    <n v="19"/>
    <x v="1"/>
    <x v="4"/>
    <s v="CMP105"/>
    <x v="4"/>
    <n v="2700"/>
    <n v="398"/>
    <n v="22"/>
    <n v="3542"/>
    <n v="1077"/>
    <d v="2025-02-04T00:00:00"/>
    <n v="0.1474074074074074"/>
    <n v="5.5276381909547742E-2"/>
    <n v="2.2887650882079851"/>
  </r>
  <r>
    <n v="35"/>
    <n v="50"/>
    <x v="0"/>
    <x v="1"/>
    <s v="CMP104"/>
    <x v="0"/>
    <n v="4291"/>
    <n v="494"/>
    <n v="45"/>
    <n v="6615"/>
    <n v="360"/>
    <d v="2025-02-17T00:00:00"/>
    <n v="0.11512467956187369"/>
    <n v="9.1093117408906882E-2"/>
    <n v="17.375"/>
  </r>
  <r>
    <n v="36"/>
    <n v="34"/>
    <x v="0"/>
    <x v="3"/>
    <s v="CMP100"/>
    <x v="3"/>
    <n v="4487"/>
    <n v="433"/>
    <n v="12"/>
    <n v="1752"/>
    <n v="1358"/>
    <d v="2025-02-17T00:00:00"/>
    <n v="9.6501002897258742E-2"/>
    <n v="2.771362586605081E-2"/>
    <n v="0.29013254786450665"/>
  </r>
  <r>
    <n v="37"/>
    <n v="25"/>
    <x v="1"/>
    <x v="4"/>
    <s v="CMP101"/>
    <x v="3"/>
    <n v="1454"/>
    <n v="420"/>
    <n v="26"/>
    <n v="2834"/>
    <n v="949"/>
    <d v="2025-01-21T00:00:00"/>
    <n v="0.28885832187070154"/>
    <n v="6.1904761904761907E-2"/>
    <n v="1.9863013698630136"/>
  </r>
  <r>
    <n v="38"/>
    <n v="52"/>
    <x v="0"/>
    <x v="3"/>
    <s v="CMP100"/>
    <x v="1"/>
    <n v="1459"/>
    <n v="366"/>
    <n v="52"/>
    <n v="4316"/>
    <n v="858"/>
    <d v="2025-01-17T00:00:00"/>
    <n v="0.25085675119945167"/>
    <n v="0.14207650273224043"/>
    <n v="4.0303030303030303"/>
  </r>
  <r>
    <n v="39"/>
    <n v="52"/>
    <x v="0"/>
    <x v="3"/>
    <s v="CMP108"/>
    <x v="1"/>
    <n v="1743"/>
    <n v="207"/>
    <n v="50"/>
    <n v="4250"/>
    <n v="1596"/>
    <d v="2025-02-06T00:00:00"/>
    <n v="0.11876075731497418"/>
    <n v="0.24154589371980675"/>
    <n v="1.662907268170426"/>
  </r>
  <r>
    <n v="40"/>
    <n v="52"/>
    <x v="0"/>
    <x v="4"/>
    <s v="CMP100"/>
    <x v="4"/>
    <n v="2827"/>
    <n v="398"/>
    <n v="50"/>
    <n v="8700"/>
    <n v="380"/>
    <d v="2025-04-26T00:00:00"/>
    <n v="0.14078528475415636"/>
    <n v="0.12562814070351758"/>
    <n v="21.894736842105264"/>
  </r>
  <r>
    <n v="41"/>
    <n v="35"/>
    <x v="0"/>
    <x v="1"/>
    <s v="CMP108"/>
    <x v="2"/>
    <n v="690"/>
    <n v="302"/>
    <n v="36"/>
    <n v="5256"/>
    <n v="1384"/>
    <d v="2025-04-16T00:00:00"/>
    <n v="0.43768115942028984"/>
    <n v="0.11920529801324503"/>
    <n v="2.7976878612716765"/>
  </r>
  <r>
    <n v="42"/>
    <n v="39"/>
    <x v="0"/>
    <x v="3"/>
    <s v="CMP106"/>
    <x v="3"/>
    <n v="1069"/>
    <n v="372"/>
    <n v="50"/>
    <n v="5550"/>
    <n v="825"/>
    <d v="2025-03-07T00:00:00"/>
    <n v="0.34798877455565952"/>
    <n v="0.13440860215053763"/>
    <n v="5.7272727272727275"/>
  </r>
  <r>
    <n v="43"/>
    <n v="26"/>
    <x v="1"/>
    <x v="1"/>
    <s v="CMP105"/>
    <x v="0"/>
    <n v="654"/>
    <n v="435"/>
    <n v="21"/>
    <n v="2352"/>
    <n v="1327"/>
    <d v="2025-02-17T00:00:00"/>
    <n v="0.66513761467889909"/>
    <n v="4.8275862068965517E-2"/>
    <n v="0.77241899020346649"/>
  </r>
  <r>
    <n v="44"/>
    <n v="30"/>
    <x v="1"/>
    <x v="4"/>
    <s v="CMP109"/>
    <x v="3"/>
    <n v="3306"/>
    <n v="75"/>
    <n v="54"/>
    <n v="5562"/>
    <n v="1120"/>
    <d v="2025-01-07T00:00:00"/>
    <n v="2.2686025408348458E-2"/>
    <n v="0.72"/>
    <n v="3.9660714285714285"/>
  </r>
  <r>
    <n v="45"/>
    <n v="33"/>
    <x v="0"/>
    <x v="1"/>
    <s v="CMP102"/>
    <x v="3"/>
    <n v="4631"/>
    <n v="222"/>
    <n v="24"/>
    <n v="2088"/>
    <n v="520"/>
    <d v="2025-03-28T00:00:00"/>
    <n v="4.7937810408119196E-2"/>
    <n v="0.10810810810810811"/>
    <n v="3.0153846153846153"/>
  </r>
  <r>
    <n v="46"/>
    <n v="39"/>
    <x v="1"/>
    <x v="2"/>
    <s v="CMP102"/>
    <x v="0"/>
    <n v="1666"/>
    <n v="141"/>
    <n v="70"/>
    <n v="9940"/>
    <n v="926"/>
    <d v="2025-01-25T00:00:00"/>
    <n v="8.4633853541416573E-2"/>
    <n v="0.49645390070921985"/>
    <n v="9.7343412526997835"/>
  </r>
  <r>
    <n v="47"/>
    <n v="39"/>
    <x v="0"/>
    <x v="3"/>
    <s v="CMP100"/>
    <x v="4"/>
    <n v="4269"/>
    <n v="112"/>
    <n v="66"/>
    <n v="6666"/>
    <n v="1348"/>
    <d v="2025-02-21T00:00:00"/>
    <n v="2.6235652377605997E-2"/>
    <n v="0.5892857142857143"/>
    <n v="3.9451038575667656"/>
  </r>
  <r>
    <n v="48"/>
    <n v="25"/>
    <x v="0"/>
    <x v="2"/>
    <s v="CMP104"/>
    <x v="4"/>
    <n v="4354"/>
    <n v="103"/>
    <n v="64"/>
    <n v="11264"/>
    <n v="812"/>
    <d v="2025-03-01T00:00:00"/>
    <n v="2.3656407900780892E-2"/>
    <n v="0.62135922330097082"/>
    <n v="12.871921182266011"/>
  </r>
  <r>
    <n v="49"/>
    <n v="23"/>
    <x v="0"/>
    <x v="0"/>
    <s v="CMP103"/>
    <x v="2"/>
    <n v="3551"/>
    <n v="157"/>
    <n v="9"/>
    <n v="1323"/>
    <n v="1326"/>
    <d v="2025-04-04T00:00:00"/>
    <n v="4.4212897775274568E-2"/>
    <n v="5.7324840764331211E-2"/>
    <n v="-2.2624434389140274E-3"/>
  </r>
  <r>
    <n v="50"/>
    <n v="33"/>
    <x v="0"/>
    <x v="2"/>
    <s v="CMP101"/>
    <x v="2"/>
    <n v="4642"/>
    <n v="404"/>
    <n v="59"/>
    <n v="7729"/>
    <n v="1135"/>
    <d v="2025-04-16T00:00:00"/>
    <n v="8.7031451960361911E-2"/>
    <n v="0.14603960396039603"/>
    <n v="5.8096916299559469"/>
  </r>
  <r>
    <n v="51"/>
    <n v="36"/>
    <x v="0"/>
    <x v="0"/>
    <s v="CMP109"/>
    <x v="0"/>
    <n v="2193"/>
    <n v="196"/>
    <n v="21"/>
    <n v="2982"/>
    <n v="319"/>
    <d v="2025-02-24T00:00:00"/>
    <n v="8.9375284997720017E-2"/>
    <n v="0.10714285714285714"/>
    <n v="8.3479623824451412"/>
  </r>
  <r>
    <n v="52"/>
    <n v="29"/>
    <x v="1"/>
    <x v="4"/>
    <s v="CMP104"/>
    <x v="3"/>
    <n v="1869"/>
    <n v="278"/>
    <n v="66"/>
    <n v="5808"/>
    <n v="990"/>
    <d v="2025-01-01T00:00:00"/>
    <n v="0.14874264312466559"/>
    <n v="0.23741007194244604"/>
    <n v="4.8666666666666663"/>
  </r>
  <r>
    <n v="53"/>
    <n v="49"/>
    <x v="0"/>
    <x v="4"/>
    <s v="CMP105"/>
    <x v="2"/>
    <n v="1581"/>
    <n v="171"/>
    <n v="5"/>
    <n v="565"/>
    <n v="1974"/>
    <d v="2025-02-17T00:00:00"/>
    <n v="0.10815939278937381"/>
    <n v="2.9239766081871343E-2"/>
    <n v="-0.71377912867274573"/>
  </r>
  <r>
    <n v="54"/>
    <n v="22"/>
    <x v="0"/>
    <x v="4"/>
    <s v="CMP105"/>
    <x v="0"/>
    <n v="4172"/>
    <n v="286"/>
    <n v="5"/>
    <n v="700"/>
    <n v="1495"/>
    <d v="2025-04-03T00:00:00"/>
    <n v="6.85522531160115E-2"/>
    <n v="1.7482517482517484E-2"/>
    <n v="-0.5317725752508361"/>
  </r>
  <r>
    <n v="55"/>
    <n v="54"/>
    <x v="0"/>
    <x v="4"/>
    <s v="CMP105"/>
    <x v="0"/>
    <n v="2794"/>
    <n v="125"/>
    <n v="30"/>
    <n v="3900"/>
    <n v="1879"/>
    <d v="2025-02-26T00:00:00"/>
    <n v="4.4738725841088046E-2"/>
    <n v="0.24"/>
    <n v="1.0755721128259712"/>
  </r>
  <r>
    <n v="56"/>
    <n v="47"/>
    <x v="0"/>
    <x v="4"/>
    <s v="CMP103"/>
    <x v="3"/>
    <n v="3856"/>
    <n v="269"/>
    <n v="73"/>
    <n v="14016"/>
    <n v="1270"/>
    <d v="2025-03-10T00:00:00"/>
    <n v="6.9761410788381745E-2"/>
    <n v="0.27137546468401486"/>
    <n v="10.036220472440945"/>
  </r>
  <r>
    <n v="57"/>
    <n v="53"/>
    <x v="1"/>
    <x v="4"/>
    <s v="CMP100"/>
    <x v="4"/>
    <n v="3459"/>
    <n v="267"/>
    <n v="52"/>
    <n v="6136"/>
    <n v="540"/>
    <d v="2025-04-04T00:00:00"/>
    <n v="7.7189939288811793E-2"/>
    <n v="0.19475655430711611"/>
    <n v="10.362962962962962"/>
  </r>
  <r>
    <n v="58"/>
    <n v="53"/>
    <x v="0"/>
    <x v="2"/>
    <s v="CMP101"/>
    <x v="4"/>
    <n v="4952"/>
    <n v="72"/>
    <n v="14"/>
    <n v="2072"/>
    <n v="1981"/>
    <d v="2025-02-21T00:00:00"/>
    <n v="1.4539579967689823E-2"/>
    <n v="0.19444444444444445"/>
    <n v="4.5936395759717315E-2"/>
  </r>
  <r>
    <n v="59"/>
    <n v="21"/>
    <x v="0"/>
    <x v="0"/>
    <s v="CMP107"/>
    <x v="4"/>
    <n v="4230"/>
    <n v="491"/>
    <n v="5"/>
    <n v="740"/>
    <n v="1215"/>
    <d v="2025-03-21T00:00:00"/>
    <n v="0.11607565011820331"/>
    <n v="1.0183299389002037E-2"/>
    <n v="-0.39094650205761317"/>
  </r>
  <r>
    <n v="60"/>
    <n v="50"/>
    <x v="1"/>
    <x v="1"/>
    <s v="CMP100"/>
    <x v="4"/>
    <n v="1395"/>
    <n v="209"/>
    <n v="28"/>
    <n v="3192"/>
    <n v="889"/>
    <d v="2025-03-02T00:00:00"/>
    <n v="0.14982078853046596"/>
    <n v="0.13397129186602871"/>
    <n v="2.590551181102362"/>
  </r>
  <r>
    <n v="61"/>
    <n v="27"/>
    <x v="0"/>
    <x v="1"/>
    <s v="CMP101"/>
    <x v="0"/>
    <n v="3238"/>
    <n v="476"/>
    <n v="16"/>
    <n v="1792"/>
    <n v="1800"/>
    <d v="2025-04-25T00:00:00"/>
    <n v="0.14700432365657815"/>
    <n v="3.3613445378151259E-2"/>
    <n v="-4.4444444444444444E-3"/>
  </r>
  <r>
    <n v="62"/>
    <n v="27"/>
    <x v="0"/>
    <x v="3"/>
    <s v="CMP109"/>
    <x v="1"/>
    <n v="1253"/>
    <n v="84"/>
    <n v="12"/>
    <n v="1260"/>
    <n v="804"/>
    <d v="2025-02-03T00:00:00"/>
    <n v="6.7039106145251395E-2"/>
    <n v="0.14285714285714285"/>
    <n v="0.56716417910447758"/>
  </r>
  <r>
    <n v="63"/>
    <n v="28"/>
    <x v="1"/>
    <x v="4"/>
    <s v="CMP107"/>
    <x v="0"/>
    <n v="614"/>
    <n v="154"/>
    <n v="11"/>
    <n v="1507"/>
    <n v="1419"/>
    <d v="2025-02-05T00:00:00"/>
    <n v="0.250814332247557"/>
    <n v="7.1428571428571425E-2"/>
    <n v="6.2015503875968991E-2"/>
  </r>
  <r>
    <n v="64"/>
    <n v="26"/>
    <x v="0"/>
    <x v="4"/>
    <s v="CMP107"/>
    <x v="2"/>
    <n v="1228"/>
    <n v="326"/>
    <n v="40"/>
    <n v="7200"/>
    <n v="1617"/>
    <d v="2025-03-05T00:00:00"/>
    <n v="0.26547231270358307"/>
    <n v="0.12269938650306748"/>
    <n v="3.4526901669758812"/>
  </r>
  <r>
    <n v="65"/>
    <n v="49"/>
    <x v="1"/>
    <x v="3"/>
    <s v="CMP107"/>
    <x v="2"/>
    <n v="3286"/>
    <n v="226"/>
    <n v="40"/>
    <n v="7680"/>
    <n v="1177"/>
    <d v="2025-01-23T00:00:00"/>
    <n v="6.877662811929397E-2"/>
    <n v="0.17699115044247787"/>
    <n v="5.5250637213254032"/>
  </r>
  <r>
    <n v="66"/>
    <n v="42"/>
    <x v="0"/>
    <x v="5"/>
    <s v="CMP102"/>
    <x v="0"/>
    <n v="4632"/>
    <n v="317"/>
    <n v="59"/>
    <n v="6018"/>
    <n v="1748"/>
    <d v="2025-04-15T00:00:00"/>
    <n v="6.8436960276338513E-2"/>
    <n v="0.18611987381703471"/>
    <n v="2.4427917620137301"/>
  </r>
  <r>
    <n v="67"/>
    <n v="53"/>
    <x v="0"/>
    <x v="2"/>
    <s v="CMP108"/>
    <x v="3"/>
    <n v="4452"/>
    <n v="111"/>
    <n v="17"/>
    <n v="1666"/>
    <n v="898"/>
    <d v="2025-01-19T00:00:00"/>
    <n v="2.4932614555256066E-2"/>
    <n v="0.15315315315315314"/>
    <n v="0.85523385300668153"/>
  </r>
  <r>
    <n v="68"/>
    <n v="36"/>
    <x v="1"/>
    <x v="2"/>
    <s v="CMP109"/>
    <x v="2"/>
    <n v="4671"/>
    <n v="314"/>
    <n v="75"/>
    <n v="13050"/>
    <n v="917"/>
    <d v="2025-04-21T00:00:00"/>
    <n v="6.7223292656818673E-2"/>
    <n v="0.23885350318471338"/>
    <n v="13.231188658669575"/>
  </r>
  <r>
    <n v="69"/>
    <n v="42"/>
    <x v="0"/>
    <x v="3"/>
    <s v="CMP103"/>
    <x v="4"/>
    <n v="643"/>
    <n v="422"/>
    <n v="73"/>
    <n v="6643"/>
    <n v="1322"/>
    <d v="2025-03-26T00:00:00"/>
    <n v="0.65629860031104204"/>
    <n v="0.17298578199052134"/>
    <n v="4.0249621785173977"/>
  </r>
  <r>
    <n v="70"/>
    <n v="31"/>
    <x v="0"/>
    <x v="3"/>
    <s v="CMP109"/>
    <x v="1"/>
    <n v="4136"/>
    <n v="200"/>
    <n v="20"/>
    <n v="2360"/>
    <n v="768"/>
    <d v="2025-01-05T00:00:00"/>
    <n v="4.8355899419729204E-2"/>
    <n v="0.1"/>
    <n v="2.0729166666666665"/>
  </r>
  <r>
    <n v="71"/>
    <n v="29"/>
    <x v="0"/>
    <x v="1"/>
    <s v="CMP108"/>
    <x v="3"/>
    <n v="1232"/>
    <n v="284"/>
    <n v="79"/>
    <n v="15010"/>
    <n v="857"/>
    <d v="2025-03-15T00:00:00"/>
    <n v="0.23051948051948051"/>
    <n v="0.27816901408450706"/>
    <n v="16.514585764294051"/>
  </r>
  <r>
    <n v="72"/>
    <n v="26"/>
    <x v="0"/>
    <x v="0"/>
    <s v="CMP101"/>
    <x v="1"/>
    <n v="1453"/>
    <n v="450"/>
    <n v="11"/>
    <n v="1012"/>
    <n v="1397"/>
    <d v="2025-01-27T00:00:00"/>
    <n v="0.30970406056434963"/>
    <n v="2.4444444444444446E-2"/>
    <n v="-0.27559055118110237"/>
  </r>
  <r>
    <n v="73"/>
    <n v="36"/>
    <x v="1"/>
    <x v="4"/>
    <s v="CMP107"/>
    <x v="2"/>
    <n v="3181"/>
    <n v="243"/>
    <n v="9"/>
    <n v="1044"/>
    <n v="228"/>
    <d v="2025-04-22T00:00:00"/>
    <n v="7.6391071989940273E-2"/>
    <n v="3.7037037037037035E-2"/>
    <n v="3.5789473684210527"/>
  </r>
  <r>
    <n v="74"/>
    <n v="42"/>
    <x v="0"/>
    <x v="2"/>
    <s v="CMP103"/>
    <x v="1"/>
    <n v="1888"/>
    <n v="370"/>
    <n v="21"/>
    <n v="3150"/>
    <n v="710"/>
    <d v="2025-02-05T00:00:00"/>
    <n v="0.19597457627118645"/>
    <n v="5.675675675675676E-2"/>
    <n v="3.436619718309859"/>
  </r>
  <r>
    <n v="75"/>
    <n v="44"/>
    <x v="1"/>
    <x v="0"/>
    <s v="CMP109"/>
    <x v="1"/>
    <n v="3641"/>
    <n v="301"/>
    <n v="35"/>
    <n v="6545"/>
    <n v="644"/>
    <d v="2025-03-31T00:00:00"/>
    <n v="8.2669596264762432E-2"/>
    <n v="0.11627906976744186"/>
    <n v="9.1630434782608692"/>
  </r>
  <r>
    <n v="76"/>
    <n v="45"/>
    <x v="0"/>
    <x v="3"/>
    <s v="CMP109"/>
    <x v="1"/>
    <n v="4102"/>
    <n v="88"/>
    <n v="71"/>
    <n v="6532"/>
    <n v="372"/>
    <d v="2025-01-20T00:00:00"/>
    <n v="2.1452949780594831E-2"/>
    <n v="0.80681818181818177"/>
    <n v="16.559139784946236"/>
  </r>
  <r>
    <n v="77"/>
    <n v="30"/>
    <x v="0"/>
    <x v="3"/>
    <s v="CMP108"/>
    <x v="3"/>
    <n v="955"/>
    <n v="366"/>
    <n v="43"/>
    <n v="3526"/>
    <n v="1224"/>
    <d v="2025-03-04T00:00:00"/>
    <n v="0.3832460732984293"/>
    <n v="0.11748633879781421"/>
    <n v="1.880718954248366"/>
  </r>
  <r>
    <n v="78"/>
    <n v="23"/>
    <x v="1"/>
    <x v="2"/>
    <s v="CMP109"/>
    <x v="4"/>
    <n v="2031"/>
    <n v="418"/>
    <n v="29"/>
    <n v="3248"/>
    <n v="1023"/>
    <d v="2025-02-13T00:00:00"/>
    <n v="0.20580994583948795"/>
    <n v="6.9377990430622011E-2"/>
    <n v="2.1749755620723361"/>
  </r>
  <r>
    <n v="79"/>
    <n v="38"/>
    <x v="0"/>
    <x v="5"/>
    <s v="CMP104"/>
    <x v="3"/>
    <n v="2352"/>
    <n v="352"/>
    <n v="25"/>
    <n v="4925"/>
    <n v="279"/>
    <d v="2025-02-05T00:00:00"/>
    <n v="0.14965986394557823"/>
    <n v="7.1022727272727279E-2"/>
    <n v="16.652329749103941"/>
  </r>
  <r>
    <n v="80"/>
    <n v="31"/>
    <x v="1"/>
    <x v="0"/>
    <s v="CMP100"/>
    <x v="0"/>
    <n v="1750"/>
    <n v="196"/>
    <n v="24"/>
    <n v="2328"/>
    <n v="1664"/>
    <d v="2025-04-27T00:00:00"/>
    <n v="0.112"/>
    <n v="0.12244897959183673"/>
    <n v="0.39903846153846156"/>
  </r>
  <r>
    <n v="81"/>
    <n v="28"/>
    <x v="0"/>
    <x v="0"/>
    <s v="CMP109"/>
    <x v="4"/>
    <n v="4137"/>
    <n v="423"/>
    <n v="7"/>
    <n v="1162"/>
    <n v="855"/>
    <d v="2025-04-06T00:00:00"/>
    <n v="0.10224800580130529"/>
    <n v="1.6548463356973995E-2"/>
    <n v="0.35906432748538014"/>
  </r>
  <r>
    <n v="82"/>
    <n v="25"/>
    <x v="0"/>
    <x v="3"/>
    <s v="CMP109"/>
    <x v="4"/>
    <n v="3331"/>
    <n v="407"/>
    <n v="28"/>
    <n v="5488"/>
    <n v="867"/>
    <d v="2025-04-02T00:00:00"/>
    <n v="0.12218552987090964"/>
    <n v="6.8796068796068796E-2"/>
    <n v="5.3298731257208765"/>
  </r>
  <r>
    <n v="83"/>
    <n v="45"/>
    <x v="0"/>
    <x v="3"/>
    <s v="CMP104"/>
    <x v="1"/>
    <n v="4685"/>
    <n v="185"/>
    <n v="62"/>
    <n v="7998"/>
    <n v="1539"/>
    <d v="2025-02-10T00:00:00"/>
    <n v="3.9487726787620067E-2"/>
    <n v="0.33513513513513515"/>
    <n v="4.196881091617934"/>
  </r>
  <r>
    <n v="84"/>
    <n v="50"/>
    <x v="0"/>
    <x v="2"/>
    <s v="CMP104"/>
    <x v="0"/>
    <n v="4275"/>
    <n v="460"/>
    <n v="67"/>
    <n v="10184"/>
    <n v="1368"/>
    <d v="2025-03-25T00:00:00"/>
    <n v="0.10760233918128655"/>
    <n v="0.14565217391304347"/>
    <n v="6.4444444444444446"/>
  </r>
  <r>
    <n v="85"/>
    <n v="52"/>
    <x v="0"/>
    <x v="2"/>
    <s v="CMP105"/>
    <x v="1"/>
    <n v="3008"/>
    <n v="269"/>
    <n v="33"/>
    <n v="4125"/>
    <n v="1108"/>
    <d v="2025-03-23T00:00:00"/>
    <n v="8.9428191489361708E-2"/>
    <n v="0.12267657992565056"/>
    <n v="2.7229241877256318"/>
  </r>
  <r>
    <n v="86"/>
    <n v="47"/>
    <x v="0"/>
    <x v="0"/>
    <s v="CMP101"/>
    <x v="3"/>
    <n v="755"/>
    <n v="246"/>
    <n v="51"/>
    <n v="4539"/>
    <n v="649"/>
    <d v="2025-04-19T00:00:00"/>
    <n v="0.32582781456953641"/>
    <n v="0.2073170731707317"/>
    <n v="5.9938366718027734"/>
  </r>
  <r>
    <n v="87"/>
    <n v="28"/>
    <x v="1"/>
    <x v="0"/>
    <s v="CMP104"/>
    <x v="1"/>
    <n v="1515"/>
    <n v="338"/>
    <n v="69"/>
    <n v="12075"/>
    <n v="345"/>
    <d v="2025-01-26T00:00:00"/>
    <n v="0.22310231023102312"/>
    <n v="0.20414201183431951"/>
    <n v="34"/>
  </r>
  <r>
    <n v="88"/>
    <n v="30"/>
    <x v="1"/>
    <x v="3"/>
    <s v="CMP100"/>
    <x v="0"/>
    <n v="4658"/>
    <n v="266"/>
    <n v="63"/>
    <n v="8064"/>
    <n v="994"/>
    <d v="2025-04-08T00:00:00"/>
    <n v="5.7106054100472307E-2"/>
    <n v="0.23684210526315788"/>
    <n v="7.112676056338028"/>
  </r>
  <r>
    <n v="89"/>
    <n v="23"/>
    <x v="0"/>
    <x v="2"/>
    <s v="CMP100"/>
    <x v="2"/>
    <n v="2652"/>
    <n v="148"/>
    <n v="5"/>
    <n v="955"/>
    <n v="604"/>
    <d v="2025-03-10T00:00:00"/>
    <n v="5.5806938159879339E-2"/>
    <n v="3.3783783783783786E-2"/>
    <n v="0.58112582781456956"/>
  </r>
  <r>
    <n v="90"/>
    <n v="54"/>
    <x v="0"/>
    <x v="4"/>
    <s v="CMP104"/>
    <x v="0"/>
    <n v="2168"/>
    <n v="407"/>
    <n v="7"/>
    <n v="714"/>
    <n v="1660"/>
    <d v="2025-02-06T00:00:00"/>
    <n v="0.18773062730627307"/>
    <n v="1.7199017199017199E-2"/>
    <n v="-0.5698795180722892"/>
  </r>
  <r>
    <n v="91"/>
    <n v="30"/>
    <x v="1"/>
    <x v="2"/>
    <s v="CMP103"/>
    <x v="0"/>
    <n v="4678"/>
    <n v="194"/>
    <n v="77"/>
    <n v="10010"/>
    <n v="200"/>
    <d v="2025-03-03T00:00:00"/>
    <n v="4.1470713980333473E-2"/>
    <n v="0.39690721649484534"/>
    <n v="49.05"/>
  </r>
  <r>
    <n v="92"/>
    <n v="51"/>
    <x v="0"/>
    <x v="3"/>
    <s v="CMP105"/>
    <x v="1"/>
    <n v="2323"/>
    <n v="83"/>
    <n v="76"/>
    <n v="7980"/>
    <n v="1774"/>
    <d v="2025-04-28T00:00:00"/>
    <n v="3.5729659922513993E-2"/>
    <n v="0.91566265060240959"/>
    <n v="3.4983089064261557"/>
  </r>
  <r>
    <n v="93"/>
    <n v="22"/>
    <x v="1"/>
    <x v="5"/>
    <s v="CMP108"/>
    <x v="3"/>
    <n v="1270"/>
    <n v="428"/>
    <n v="54"/>
    <n v="7776"/>
    <n v="467"/>
    <d v="2025-01-17T00:00:00"/>
    <n v="0.33700787401574805"/>
    <n v="0.12616822429906541"/>
    <n v="15.650963597430406"/>
  </r>
  <r>
    <n v="94"/>
    <n v="38"/>
    <x v="1"/>
    <x v="1"/>
    <s v="CMP101"/>
    <x v="1"/>
    <n v="3314"/>
    <n v="352"/>
    <n v="27"/>
    <n v="4860"/>
    <n v="1430"/>
    <d v="2025-03-16T00:00:00"/>
    <n v="0.10621605310802655"/>
    <n v="7.6704545454545456E-2"/>
    <n v="2.3986013986013988"/>
  </r>
  <r>
    <n v="95"/>
    <n v="51"/>
    <x v="1"/>
    <x v="0"/>
    <s v="CMP101"/>
    <x v="2"/>
    <n v="2650"/>
    <n v="471"/>
    <n v="68"/>
    <n v="12036"/>
    <n v="963"/>
    <d v="2025-01-30T00:00:00"/>
    <n v="0.17773584905660378"/>
    <n v="0.14437367303609341"/>
    <n v="11.498442367601246"/>
  </r>
  <r>
    <n v="96"/>
    <n v="50"/>
    <x v="0"/>
    <x v="0"/>
    <s v="CMP107"/>
    <x v="3"/>
    <n v="1858"/>
    <n v="396"/>
    <n v="55"/>
    <n v="9735"/>
    <n v="646"/>
    <d v="2025-03-20T00:00:00"/>
    <n v="0.2131324004305705"/>
    <n v="0.1388888888888889"/>
    <n v="14.069659442724458"/>
  </r>
  <r>
    <n v="97"/>
    <n v="27"/>
    <x v="1"/>
    <x v="4"/>
    <s v="CMP107"/>
    <x v="3"/>
    <n v="3677"/>
    <n v="100"/>
    <n v="9"/>
    <n v="747"/>
    <n v="996"/>
    <d v="2025-01-17T00:00:00"/>
    <n v="2.7196083763937992E-2"/>
    <n v="0.09"/>
    <n v="-0.25"/>
  </r>
  <r>
    <n v="98"/>
    <n v="19"/>
    <x v="0"/>
    <x v="1"/>
    <s v="CMP102"/>
    <x v="1"/>
    <n v="3332"/>
    <n v="389"/>
    <n v="73"/>
    <n v="6205"/>
    <n v="745"/>
    <d v="2025-04-21T00:00:00"/>
    <n v="0.11674669867947179"/>
    <n v="0.18766066838046272"/>
    <n v="7.3288590604026842"/>
  </r>
  <r>
    <n v="99"/>
    <n v="28"/>
    <x v="0"/>
    <x v="1"/>
    <s v="CMP105"/>
    <x v="1"/>
    <n v="1260"/>
    <n v="200"/>
    <n v="59"/>
    <n v="10266"/>
    <n v="1047"/>
    <d v="2025-01-16T00:00:00"/>
    <n v="0.15873015873015872"/>
    <n v="0.29499999999999998"/>
    <n v="8.8051575931232087"/>
  </r>
  <r>
    <n v="100"/>
    <n v="20"/>
    <x v="0"/>
    <x v="0"/>
    <s v="CMP102"/>
    <x v="2"/>
    <n v="1399"/>
    <n v="409"/>
    <n v="8"/>
    <n v="832"/>
    <n v="1919"/>
    <d v="2025-01-27T00:00:00"/>
    <n v="0.29235167977126519"/>
    <n v="1.9559902200488997E-2"/>
    <n v="-0.56644085461177696"/>
  </r>
  <r>
    <n v="101"/>
    <n v="36"/>
    <x v="1"/>
    <x v="5"/>
    <s v="CMP104"/>
    <x v="1"/>
    <n v="4688"/>
    <n v="209"/>
    <n v="54"/>
    <n v="7020"/>
    <n v="260"/>
    <d v="2025-01-05T00:00:00"/>
    <n v="4.4581911262798632E-2"/>
    <n v="0.25837320574162681"/>
    <n v="26"/>
  </r>
  <r>
    <n v="102"/>
    <n v="22"/>
    <x v="1"/>
    <x v="4"/>
    <s v="CMP108"/>
    <x v="4"/>
    <n v="4400"/>
    <n v="71"/>
    <n v="25"/>
    <n v="2000"/>
    <n v="1037"/>
    <d v="2025-01-12T00:00:00"/>
    <n v="1.6136363636363636E-2"/>
    <n v="0.352112676056338"/>
    <n v="0.92864030858244939"/>
  </r>
  <r>
    <n v="103"/>
    <n v="44"/>
    <x v="0"/>
    <x v="1"/>
    <s v="CMP108"/>
    <x v="3"/>
    <n v="2893"/>
    <n v="95"/>
    <n v="38"/>
    <n v="6422"/>
    <n v="1301"/>
    <d v="2025-01-26T00:00:00"/>
    <n v="3.2837884548911164E-2"/>
    <n v="0.4"/>
    <n v="3.9362029208301306"/>
  </r>
  <r>
    <n v="104"/>
    <n v="34"/>
    <x v="1"/>
    <x v="1"/>
    <s v="CMP109"/>
    <x v="4"/>
    <n v="2796"/>
    <n v="96"/>
    <n v="60"/>
    <n v="11160"/>
    <n v="549"/>
    <d v="2025-02-05T00:00:00"/>
    <n v="3.4334763948497854E-2"/>
    <n v="0.625"/>
    <n v="19.327868852459016"/>
  </r>
  <r>
    <n v="105"/>
    <n v="39"/>
    <x v="0"/>
    <x v="5"/>
    <s v="CMP109"/>
    <x v="4"/>
    <n v="2555"/>
    <n v="162"/>
    <n v="56"/>
    <n v="7056"/>
    <n v="918"/>
    <d v="2025-01-28T00:00:00"/>
    <n v="6.3405088062622308E-2"/>
    <n v="0.34567901234567899"/>
    <n v="6.6862745098039218"/>
  </r>
  <r>
    <n v="106"/>
    <n v="31"/>
    <x v="0"/>
    <x v="3"/>
    <s v="CMP107"/>
    <x v="0"/>
    <n v="2625"/>
    <n v="265"/>
    <n v="6"/>
    <n v="630"/>
    <n v="564"/>
    <d v="2025-04-25T00:00:00"/>
    <n v="0.10095238095238095"/>
    <n v="2.2641509433962263E-2"/>
    <n v="0.11702127659574468"/>
  </r>
  <r>
    <n v="107"/>
    <n v="52"/>
    <x v="0"/>
    <x v="1"/>
    <s v="CMP102"/>
    <x v="0"/>
    <n v="2146"/>
    <n v="456"/>
    <n v="22"/>
    <n v="2574"/>
    <n v="1729"/>
    <d v="2025-01-15T00:00:00"/>
    <n v="0.21248835041938491"/>
    <n v="4.8245614035087717E-2"/>
    <n v="0.48872180451127817"/>
  </r>
  <r>
    <n v="108"/>
    <n v="39"/>
    <x v="1"/>
    <x v="1"/>
    <s v="CMP109"/>
    <x v="0"/>
    <n v="2575"/>
    <n v="251"/>
    <n v="43"/>
    <n v="7826"/>
    <n v="1496"/>
    <d v="2025-02-13T00:00:00"/>
    <n v="9.7475728155339808E-2"/>
    <n v="0.17131474103585656"/>
    <n v="4.2312834224598932"/>
  </r>
  <r>
    <n v="109"/>
    <n v="20"/>
    <x v="0"/>
    <x v="5"/>
    <s v="CMP108"/>
    <x v="4"/>
    <n v="4096"/>
    <n v="261"/>
    <n v="29"/>
    <n v="2581"/>
    <n v="1803"/>
    <d v="2025-04-19T00:00:00"/>
    <n v="6.3720703125E-2"/>
    <n v="0.1111111111111111"/>
    <n v="0.4315030504714365"/>
  </r>
  <r>
    <n v="110"/>
    <n v="36"/>
    <x v="0"/>
    <x v="0"/>
    <s v="CMP109"/>
    <x v="4"/>
    <n v="1669"/>
    <n v="160"/>
    <n v="38"/>
    <n v="3306"/>
    <n v="822"/>
    <d v="2025-02-10T00:00:00"/>
    <n v="9.5865787896944277E-2"/>
    <n v="0.23749999999999999"/>
    <n v="3.0218978102189782"/>
  </r>
  <r>
    <n v="111"/>
    <n v="51"/>
    <x v="0"/>
    <x v="0"/>
    <s v="CMP107"/>
    <x v="2"/>
    <n v="3160"/>
    <n v="55"/>
    <n v="56"/>
    <n v="8008"/>
    <n v="1505"/>
    <d v="2025-02-28T00:00:00"/>
    <n v="1.740506329113924E-2"/>
    <n v="1.0181818181818181"/>
    <n v="4.3209302325581396"/>
  </r>
  <r>
    <n v="112"/>
    <n v="38"/>
    <x v="1"/>
    <x v="2"/>
    <s v="CMP105"/>
    <x v="3"/>
    <n v="1376"/>
    <n v="278"/>
    <n v="37"/>
    <n v="3737"/>
    <n v="1660"/>
    <d v="2025-03-11T00:00:00"/>
    <n v="0.20203488372093023"/>
    <n v="0.13309352517985612"/>
    <n v="1.2512048192771084"/>
  </r>
  <r>
    <n v="113"/>
    <n v="47"/>
    <x v="0"/>
    <x v="1"/>
    <s v="CMP107"/>
    <x v="1"/>
    <n v="3063"/>
    <n v="399"/>
    <n v="79"/>
    <n v="11139"/>
    <n v="1669"/>
    <d v="2025-02-24T00:00:00"/>
    <n v="0.13026444662095985"/>
    <n v="0.19799498746867167"/>
    <n v="5.6740563211503892"/>
  </r>
  <r>
    <n v="114"/>
    <n v="54"/>
    <x v="0"/>
    <x v="5"/>
    <s v="CMP103"/>
    <x v="2"/>
    <n v="1660"/>
    <n v="296"/>
    <n v="7"/>
    <n v="770"/>
    <n v="442"/>
    <d v="2025-01-24T00:00:00"/>
    <n v="0.1783132530120482"/>
    <n v="2.364864864864865E-2"/>
    <n v="0.74208144796380093"/>
  </r>
  <r>
    <n v="115"/>
    <n v="23"/>
    <x v="0"/>
    <x v="5"/>
    <s v="CMP105"/>
    <x v="3"/>
    <n v="505"/>
    <n v="371"/>
    <n v="79"/>
    <n v="12482"/>
    <n v="203"/>
    <d v="2025-04-23T00:00:00"/>
    <n v="0.73465346534653464"/>
    <n v="0.21293800539083557"/>
    <n v="60.487684729064043"/>
  </r>
  <r>
    <n v="116"/>
    <n v="32"/>
    <x v="0"/>
    <x v="5"/>
    <s v="CMP107"/>
    <x v="3"/>
    <n v="3051"/>
    <n v="484"/>
    <n v="66"/>
    <n v="9570"/>
    <n v="1664"/>
    <d v="2025-01-26T00:00:00"/>
    <n v="0.15863651261881351"/>
    <n v="0.13636363636363635"/>
    <n v="4.7512019230769234"/>
  </r>
  <r>
    <n v="117"/>
    <n v="37"/>
    <x v="0"/>
    <x v="5"/>
    <s v="CMP100"/>
    <x v="1"/>
    <n v="1641"/>
    <n v="373"/>
    <n v="23"/>
    <n v="4048"/>
    <n v="923"/>
    <d v="2025-01-12T00:00:00"/>
    <n v="0.22730042656916513"/>
    <n v="6.1662198391420911E-2"/>
    <n v="3.3856988082340194"/>
  </r>
  <r>
    <n v="118"/>
    <n v="54"/>
    <x v="1"/>
    <x v="3"/>
    <s v="CMP103"/>
    <x v="0"/>
    <n v="2548"/>
    <n v="139"/>
    <n v="18"/>
    <n v="2106"/>
    <n v="519"/>
    <d v="2025-03-18T00:00:00"/>
    <n v="5.4552590266875985E-2"/>
    <n v="0.12949640287769784"/>
    <n v="3.0578034682080926"/>
  </r>
  <r>
    <n v="119"/>
    <n v="27"/>
    <x v="0"/>
    <x v="4"/>
    <s v="CMP104"/>
    <x v="0"/>
    <n v="2526"/>
    <n v="308"/>
    <n v="37"/>
    <n v="4773"/>
    <n v="1101"/>
    <d v="2025-01-23T00:00:00"/>
    <n v="0.12193190815518606"/>
    <n v="0.12012987012987013"/>
    <n v="3.3351498637602179"/>
  </r>
  <r>
    <n v="120"/>
    <n v="19"/>
    <x v="1"/>
    <x v="4"/>
    <s v="CMP103"/>
    <x v="1"/>
    <n v="2173"/>
    <n v="221"/>
    <n v="6"/>
    <n v="714"/>
    <n v="212"/>
    <d v="2025-03-06T00:00:00"/>
    <n v="0.10170271514035895"/>
    <n v="2.7149321266968326E-2"/>
    <n v="2.3679245283018866"/>
  </r>
  <r>
    <n v="121"/>
    <n v="28"/>
    <x v="1"/>
    <x v="5"/>
    <s v="CMP107"/>
    <x v="1"/>
    <n v="1842"/>
    <n v="150"/>
    <n v="77"/>
    <n v="6776"/>
    <n v="984"/>
    <d v="2025-02-07T00:00:00"/>
    <n v="8.143322475570032E-2"/>
    <n v="0.51333333333333331"/>
    <n v="5.8861788617886175"/>
  </r>
  <r>
    <n v="122"/>
    <n v="31"/>
    <x v="0"/>
    <x v="2"/>
    <s v="CMP104"/>
    <x v="3"/>
    <n v="2538"/>
    <n v="468"/>
    <n v="53"/>
    <n v="7473"/>
    <n v="1804"/>
    <d v="2025-04-30T00:00:00"/>
    <n v="0.18439716312056736"/>
    <n v="0.11324786324786325"/>
    <n v="3.1424611973392462"/>
  </r>
  <r>
    <n v="123"/>
    <n v="52"/>
    <x v="0"/>
    <x v="3"/>
    <s v="CMP100"/>
    <x v="3"/>
    <n v="4030"/>
    <n v="186"/>
    <n v="38"/>
    <n v="6764"/>
    <n v="787"/>
    <d v="2025-02-09T00:00:00"/>
    <n v="4.6153846153846156E-2"/>
    <n v="0.20430107526881722"/>
    <n v="7.594663278271919"/>
  </r>
  <r>
    <n v="124"/>
    <n v="28"/>
    <x v="0"/>
    <x v="1"/>
    <s v="CMP108"/>
    <x v="2"/>
    <n v="3891"/>
    <n v="455"/>
    <n v="64"/>
    <n v="9664"/>
    <n v="1572"/>
    <d v="2025-04-11T00:00:00"/>
    <n v="0.11693652017476228"/>
    <n v="0.14065934065934066"/>
    <n v="5.1475826972010177"/>
  </r>
  <r>
    <n v="125"/>
    <n v="31"/>
    <x v="0"/>
    <x v="4"/>
    <s v="CMP109"/>
    <x v="3"/>
    <n v="1814"/>
    <n v="262"/>
    <n v="41"/>
    <n v="6642"/>
    <n v="204"/>
    <d v="2025-03-03T00:00:00"/>
    <n v="0.1444321940463065"/>
    <n v="0.15648854961832062"/>
    <n v="31.558823529411764"/>
  </r>
  <r>
    <n v="126"/>
    <n v="25"/>
    <x v="0"/>
    <x v="4"/>
    <s v="CMP106"/>
    <x v="0"/>
    <n v="4727"/>
    <n v="138"/>
    <n v="46"/>
    <n v="4462"/>
    <n v="288"/>
    <d v="2025-04-14T00:00:00"/>
    <n v="2.9193991961074677E-2"/>
    <n v="0.33333333333333331"/>
    <n v="14.493055555555555"/>
  </r>
  <r>
    <n v="127"/>
    <n v="50"/>
    <x v="1"/>
    <x v="3"/>
    <s v="CMP106"/>
    <x v="2"/>
    <n v="4097"/>
    <n v="337"/>
    <n v="55"/>
    <n v="6435"/>
    <n v="1860"/>
    <d v="2025-03-04T00:00:00"/>
    <n v="8.2255308762509152E-2"/>
    <n v="0.16320474777448071"/>
    <n v="2.4596774193548385"/>
  </r>
  <r>
    <n v="128"/>
    <n v="19"/>
    <x v="1"/>
    <x v="0"/>
    <s v="CMP104"/>
    <x v="1"/>
    <n v="2690"/>
    <n v="202"/>
    <n v="21"/>
    <n v="3990"/>
    <n v="1448"/>
    <d v="2025-04-14T00:00:00"/>
    <n v="7.5092936802973978E-2"/>
    <n v="0.10396039603960396"/>
    <n v="1.7555248618784531"/>
  </r>
  <r>
    <n v="129"/>
    <n v="20"/>
    <x v="0"/>
    <x v="1"/>
    <s v="CMP106"/>
    <x v="4"/>
    <n v="2651"/>
    <n v="484"/>
    <n v="43"/>
    <n v="3655"/>
    <n v="397"/>
    <d v="2025-02-20T00:00:00"/>
    <n v="0.18257261410788381"/>
    <n v="8.8842975206611566E-2"/>
    <n v="8.20654911838791"/>
  </r>
  <r>
    <n v="130"/>
    <n v="50"/>
    <x v="1"/>
    <x v="2"/>
    <s v="CMP104"/>
    <x v="1"/>
    <n v="2535"/>
    <n v="280"/>
    <n v="31"/>
    <n v="3348"/>
    <n v="619"/>
    <d v="2025-01-27T00:00:00"/>
    <n v="0.11045364891518737"/>
    <n v="0.11071428571428571"/>
    <n v="4.4087237479806136"/>
  </r>
  <r>
    <n v="131"/>
    <n v="27"/>
    <x v="1"/>
    <x v="0"/>
    <s v="CMP104"/>
    <x v="2"/>
    <n v="1450"/>
    <n v="338"/>
    <n v="72"/>
    <n v="10440"/>
    <n v="797"/>
    <d v="2025-03-15T00:00:00"/>
    <n v="0.23310344827586207"/>
    <n v="0.21301775147928995"/>
    <n v="12.099121706398996"/>
  </r>
  <r>
    <n v="132"/>
    <n v="53"/>
    <x v="0"/>
    <x v="0"/>
    <s v="CMP107"/>
    <x v="4"/>
    <n v="3412"/>
    <n v="167"/>
    <n v="42"/>
    <n v="5292"/>
    <n v="1382"/>
    <d v="2025-02-21T00:00:00"/>
    <n v="4.8944900351699884E-2"/>
    <n v="0.25149700598802394"/>
    <n v="2.8292329956584661"/>
  </r>
  <r>
    <n v="133"/>
    <n v="21"/>
    <x v="1"/>
    <x v="3"/>
    <s v="CMP101"/>
    <x v="0"/>
    <n v="3728"/>
    <n v="185"/>
    <n v="9"/>
    <n v="1134"/>
    <n v="1380"/>
    <d v="2025-01-27T00:00:00"/>
    <n v="4.9624463519313301E-2"/>
    <n v="4.8648648648648651E-2"/>
    <n v="-0.17826086956521739"/>
  </r>
  <r>
    <n v="134"/>
    <n v="44"/>
    <x v="1"/>
    <x v="3"/>
    <s v="CMP104"/>
    <x v="1"/>
    <n v="594"/>
    <n v="164"/>
    <n v="40"/>
    <n v="4200"/>
    <n v="1515"/>
    <d v="2025-01-20T00:00:00"/>
    <n v="0.27609427609427611"/>
    <n v="0.24390243902439024"/>
    <n v="1.7722772277227723"/>
  </r>
  <r>
    <n v="135"/>
    <n v="23"/>
    <x v="1"/>
    <x v="1"/>
    <s v="CMP107"/>
    <x v="3"/>
    <n v="4606"/>
    <n v="303"/>
    <n v="78"/>
    <n v="9126"/>
    <n v="1071"/>
    <d v="2025-01-23T00:00:00"/>
    <n v="6.5783760312635692E-2"/>
    <n v="0.25742574257425743"/>
    <n v="7.5210084033613445"/>
  </r>
  <r>
    <n v="136"/>
    <n v="43"/>
    <x v="0"/>
    <x v="0"/>
    <s v="CMP107"/>
    <x v="3"/>
    <n v="1314"/>
    <n v="395"/>
    <n v="50"/>
    <n v="4550"/>
    <n v="562"/>
    <d v="2025-03-03T00:00:00"/>
    <n v="0.30060882800608829"/>
    <n v="0.12658227848101267"/>
    <n v="7.0960854092526686"/>
  </r>
  <r>
    <n v="137"/>
    <n v="53"/>
    <x v="0"/>
    <x v="4"/>
    <s v="CMP103"/>
    <x v="2"/>
    <n v="3781"/>
    <n v="160"/>
    <n v="64"/>
    <n v="9920"/>
    <n v="882"/>
    <d v="2025-01-05T00:00:00"/>
    <n v="4.231684739486908E-2"/>
    <n v="0.4"/>
    <n v="10.247165532879819"/>
  </r>
  <r>
    <n v="138"/>
    <n v="45"/>
    <x v="1"/>
    <x v="5"/>
    <s v="CMP109"/>
    <x v="1"/>
    <n v="3435"/>
    <n v="342"/>
    <n v="76"/>
    <n v="14060"/>
    <n v="326"/>
    <d v="2025-01-09T00:00:00"/>
    <n v="9.9563318777292575E-2"/>
    <n v="0.22222222222222221"/>
    <n v="42.128834355828218"/>
  </r>
  <r>
    <n v="139"/>
    <n v="28"/>
    <x v="0"/>
    <x v="2"/>
    <s v="CMP106"/>
    <x v="1"/>
    <n v="4646"/>
    <n v="78"/>
    <n v="44"/>
    <n v="7260"/>
    <n v="1520"/>
    <d v="2025-01-01T00:00:00"/>
    <n v="1.6788635385277657E-2"/>
    <n v="0.5641025641025641"/>
    <n v="3.7763157894736841"/>
  </r>
  <r>
    <n v="140"/>
    <n v="53"/>
    <x v="1"/>
    <x v="1"/>
    <s v="CMP105"/>
    <x v="1"/>
    <n v="3361"/>
    <n v="150"/>
    <n v="25"/>
    <n v="4725"/>
    <n v="1569"/>
    <d v="2025-03-28T00:00:00"/>
    <n v="4.4629574531389465E-2"/>
    <n v="0.16666666666666666"/>
    <n v="2.0114722753346079"/>
  </r>
  <r>
    <n v="141"/>
    <n v="32"/>
    <x v="0"/>
    <x v="0"/>
    <s v="CMP104"/>
    <x v="0"/>
    <n v="3372"/>
    <n v="50"/>
    <n v="67"/>
    <n v="12998"/>
    <n v="766"/>
    <d v="2025-02-16T00:00:00"/>
    <n v="1.4827995255041519E-2"/>
    <n v="1.34"/>
    <n v="15.968668407310705"/>
  </r>
  <r>
    <n v="142"/>
    <n v="43"/>
    <x v="1"/>
    <x v="0"/>
    <s v="CMP108"/>
    <x v="0"/>
    <n v="1832"/>
    <n v="186"/>
    <n v="78"/>
    <n v="10608"/>
    <n v="1659"/>
    <d v="2025-02-04T00:00:00"/>
    <n v="0.10152838427947598"/>
    <n v="0.41935483870967744"/>
    <n v="5.3942133815551534"/>
  </r>
  <r>
    <n v="143"/>
    <n v="19"/>
    <x v="1"/>
    <x v="2"/>
    <s v="CMP106"/>
    <x v="2"/>
    <n v="1074"/>
    <n v="293"/>
    <n v="29"/>
    <n v="4466"/>
    <n v="1825"/>
    <d v="2025-03-23T00:00:00"/>
    <n v="0.27281191806331473"/>
    <n v="9.8976109215017066E-2"/>
    <n v="1.4471232876712328"/>
  </r>
  <r>
    <n v="144"/>
    <n v="41"/>
    <x v="1"/>
    <x v="4"/>
    <s v="CMP108"/>
    <x v="4"/>
    <n v="974"/>
    <n v="467"/>
    <n v="21"/>
    <n v="2562"/>
    <n v="839"/>
    <d v="2025-03-12T00:00:00"/>
    <n v="0.47946611909650921"/>
    <n v="4.4967880085653104E-2"/>
    <n v="2.0536352800953517"/>
  </r>
  <r>
    <n v="145"/>
    <n v="39"/>
    <x v="0"/>
    <x v="3"/>
    <s v="CMP109"/>
    <x v="0"/>
    <n v="4072"/>
    <n v="393"/>
    <n v="37"/>
    <n v="3996"/>
    <n v="376"/>
    <d v="2025-01-28T00:00:00"/>
    <n v="9.6512770137524559E-2"/>
    <n v="9.4147582697201013E-2"/>
    <n v="9.6276595744680851"/>
  </r>
  <r>
    <n v="146"/>
    <n v="39"/>
    <x v="0"/>
    <x v="4"/>
    <s v="CMP107"/>
    <x v="4"/>
    <n v="3620"/>
    <n v="386"/>
    <n v="53"/>
    <n v="10441"/>
    <n v="347"/>
    <d v="2025-02-18T00:00:00"/>
    <n v="0.10662983425414364"/>
    <n v="0.13730569948186527"/>
    <n v="29.089337175792508"/>
  </r>
  <r>
    <n v="147"/>
    <n v="36"/>
    <x v="0"/>
    <x v="5"/>
    <s v="CMP100"/>
    <x v="3"/>
    <n v="4922"/>
    <n v="306"/>
    <n v="17"/>
    <n v="2822"/>
    <n v="1189"/>
    <d v="2025-02-14T00:00:00"/>
    <n v="6.2169849654611947E-2"/>
    <n v="5.5555555555555552E-2"/>
    <n v="1.3734230445752733"/>
  </r>
  <r>
    <n v="148"/>
    <n v="35"/>
    <x v="1"/>
    <x v="5"/>
    <s v="CMP100"/>
    <x v="1"/>
    <n v="2000"/>
    <n v="335"/>
    <n v="20"/>
    <n v="1960"/>
    <n v="1647"/>
    <d v="2025-03-19T00:00:00"/>
    <n v="0.16750000000000001"/>
    <n v="5.9701492537313432E-2"/>
    <n v="0.19004250151791136"/>
  </r>
  <r>
    <n v="149"/>
    <n v="21"/>
    <x v="1"/>
    <x v="4"/>
    <s v="CMP100"/>
    <x v="2"/>
    <n v="3557"/>
    <n v="243"/>
    <n v="42"/>
    <n v="5964"/>
    <n v="1146"/>
    <d v="2025-01-08T00:00:00"/>
    <n v="6.8315996626370543E-2"/>
    <n v="0.1728395061728395"/>
    <n v="4.2041884816753923"/>
  </r>
  <r>
    <n v="150"/>
    <n v="27"/>
    <x v="1"/>
    <x v="3"/>
    <s v="CMP102"/>
    <x v="3"/>
    <n v="4650"/>
    <n v="408"/>
    <n v="7"/>
    <n v="623"/>
    <n v="999"/>
    <d v="2025-04-20T00:00:00"/>
    <n v="8.7741935483870964E-2"/>
    <n v="1.7156862745098041E-2"/>
    <n v="-0.37637637637637639"/>
  </r>
  <r>
    <n v="151"/>
    <n v="24"/>
    <x v="0"/>
    <x v="4"/>
    <s v="CMP107"/>
    <x v="3"/>
    <n v="3951"/>
    <n v="136"/>
    <n v="59"/>
    <n v="6549"/>
    <n v="1699"/>
    <d v="2025-03-06T00:00:00"/>
    <n v="3.4421665401164266E-2"/>
    <n v="0.43382352941176472"/>
    <n v="2.8546203649205415"/>
  </r>
  <r>
    <n v="152"/>
    <n v="54"/>
    <x v="0"/>
    <x v="1"/>
    <s v="CMP102"/>
    <x v="2"/>
    <n v="4908"/>
    <n v="296"/>
    <n v="71"/>
    <n v="10721"/>
    <n v="642"/>
    <d v="2025-02-20T00:00:00"/>
    <n v="6.0309698451507743E-2"/>
    <n v="0.23986486486486486"/>
    <n v="15.699376947040498"/>
  </r>
  <r>
    <n v="153"/>
    <n v="31"/>
    <x v="0"/>
    <x v="0"/>
    <s v="CMP107"/>
    <x v="2"/>
    <n v="4175"/>
    <n v="313"/>
    <n v="38"/>
    <n v="6346"/>
    <n v="295"/>
    <d v="2025-02-15T00:00:00"/>
    <n v="7.4970059880239526E-2"/>
    <n v="0.12140575079872204"/>
    <n v="20.511864406779662"/>
  </r>
  <r>
    <n v="154"/>
    <n v="38"/>
    <x v="1"/>
    <x v="4"/>
    <s v="CMP106"/>
    <x v="0"/>
    <n v="3038"/>
    <n v="449"/>
    <n v="72"/>
    <n v="8352"/>
    <n v="1723"/>
    <d v="2025-02-17T00:00:00"/>
    <n v="0.1477946017116524"/>
    <n v="0.16035634743875279"/>
    <n v="3.8473592571096922"/>
  </r>
  <r>
    <n v="155"/>
    <n v="36"/>
    <x v="0"/>
    <x v="5"/>
    <s v="CMP102"/>
    <x v="0"/>
    <n v="4925"/>
    <n v="312"/>
    <n v="37"/>
    <n v="6068"/>
    <n v="350"/>
    <d v="2025-02-05T00:00:00"/>
    <n v="6.3350253807106599E-2"/>
    <n v="0.11858974358974358"/>
    <n v="16.337142857142858"/>
  </r>
  <r>
    <n v="156"/>
    <n v="37"/>
    <x v="1"/>
    <x v="0"/>
    <s v="CMP109"/>
    <x v="1"/>
    <n v="1808"/>
    <n v="237"/>
    <n v="6"/>
    <n v="888"/>
    <n v="1014"/>
    <d v="2025-01-02T00:00:00"/>
    <n v="0.13108407079646017"/>
    <n v="2.5316455696202531E-2"/>
    <n v="-0.1242603550295858"/>
  </r>
  <r>
    <n v="157"/>
    <n v="47"/>
    <x v="0"/>
    <x v="3"/>
    <s v="CMP108"/>
    <x v="4"/>
    <n v="3690"/>
    <n v="445"/>
    <n v="24"/>
    <n v="2784"/>
    <n v="460"/>
    <d v="2025-04-08T00:00:00"/>
    <n v="0.12059620596205962"/>
    <n v="5.3932584269662923E-2"/>
    <n v="5.052173913043478"/>
  </r>
  <r>
    <n v="158"/>
    <n v="47"/>
    <x v="0"/>
    <x v="2"/>
    <s v="CMP107"/>
    <x v="4"/>
    <n v="4077"/>
    <n v="391"/>
    <n v="28"/>
    <n v="4284"/>
    <n v="792"/>
    <d v="2025-02-28T00:00:00"/>
    <n v="9.5903850870738286E-2"/>
    <n v="7.1611253196930943E-2"/>
    <n v="4.4090909090909092"/>
  </r>
  <r>
    <n v="159"/>
    <n v="19"/>
    <x v="0"/>
    <x v="2"/>
    <s v="CMP108"/>
    <x v="3"/>
    <n v="4723"/>
    <n v="273"/>
    <n v="18"/>
    <n v="2142"/>
    <n v="720"/>
    <d v="2025-04-13T00:00:00"/>
    <n v="5.7802244336226972E-2"/>
    <n v="6.5934065934065936E-2"/>
    <n v="1.9750000000000001"/>
  </r>
  <r>
    <n v="160"/>
    <n v="46"/>
    <x v="1"/>
    <x v="5"/>
    <s v="CMP101"/>
    <x v="1"/>
    <n v="1801"/>
    <n v="284"/>
    <n v="8"/>
    <n v="1096"/>
    <n v="865"/>
    <d v="2025-03-28T00:00:00"/>
    <n v="0.15769017212659633"/>
    <n v="2.8169014084507043E-2"/>
    <n v="0.26705202312138726"/>
  </r>
  <r>
    <n v="161"/>
    <n v="53"/>
    <x v="0"/>
    <x v="1"/>
    <s v="CMP108"/>
    <x v="3"/>
    <n v="1304"/>
    <n v="124"/>
    <n v="74"/>
    <n v="12136"/>
    <n v="1369"/>
    <d v="2025-02-07T00:00:00"/>
    <n v="9.5092024539877307E-2"/>
    <n v="0.59677419354838712"/>
    <n v="7.8648648648648649"/>
  </r>
  <r>
    <n v="162"/>
    <n v="29"/>
    <x v="0"/>
    <x v="1"/>
    <s v="CMP106"/>
    <x v="4"/>
    <n v="2581"/>
    <n v="66"/>
    <n v="41"/>
    <n v="7421"/>
    <n v="1376"/>
    <d v="2025-04-27T00:00:00"/>
    <n v="2.5571483920960869E-2"/>
    <n v="0.62121212121212122"/>
    <n v="4.3931686046511631"/>
  </r>
  <r>
    <n v="163"/>
    <n v="44"/>
    <x v="0"/>
    <x v="3"/>
    <s v="CMP107"/>
    <x v="4"/>
    <n v="841"/>
    <n v="76"/>
    <n v="61"/>
    <n v="5185"/>
    <n v="1510"/>
    <d v="2025-04-08T00:00:00"/>
    <n v="9.0368608799048747E-2"/>
    <n v="0.80263157894736847"/>
    <n v="2.4337748344370862"/>
  </r>
  <r>
    <n v="164"/>
    <n v="38"/>
    <x v="1"/>
    <x v="4"/>
    <s v="CMP109"/>
    <x v="2"/>
    <n v="954"/>
    <n v="443"/>
    <n v="49"/>
    <n v="5145"/>
    <n v="1624"/>
    <d v="2025-02-15T00:00:00"/>
    <n v="0.46436058700209643"/>
    <n v="0.11060948081264109"/>
    <n v="2.1681034482758621"/>
  </r>
  <r>
    <n v="165"/>
    <n v="53"/>
    <x v="0"/>
    <x v="2"/>
    <s v="CMP102"/>
    <x v="4"/>
    <n v="4725"/>
    <n v="359"/>
    <n v="69"/>
    <n v="9108"/>
    <n v="1018"/>
    <d v="2025-01-26T00:00:00"/>
    <n v="7.5978835978835979E-2"/>
    <n v="0.19220055710306408"/>
    <n v="7.9469548133595289"/>
  </r>
  <r>
    <n v="166"/>
    <n v="53"/>
    <x v="1"/>
    <x v="2"/>
    <s v="CMP100"/>
    <x v="4"/>
    <n v="4624"/>
    <n v="198"/>
    <n v="15"/>
    <n v="1350"/>
    <n v="1519"/>
    <d v="2025-02-28T00:00:00"/>
    <n v="4.2820069204152246E-2"/>
    <n v="7.575757575757576E-2"/>
    <n v="-0.11125740618828177"/>
  </r>
  <r>
    <n v="167"/>
    <n v="41"/>
    <x v="0"/>
    <x v="2"/>
    <s v="CMP105"/>
    <x v="3"/>
    <n v="3354"/>
    <n v="281"/>
    <n v="58"/>
    <n v="7772"/>
    <n v="297"/>
    <d v="2025-01-22T00:00:00"/>
    <n v="8.378056052474657E-2"/>
    <n v="0.20640569395017794"/>
    <n v="25.16835016835017"/>
  </r>
  <r>
    <n v="168"/>
    <n v="34"/>
    <x v="0"/>
    <x v="3"/>
    <s v="CMP101"/>
    <x v="4"/>
    <n v="2285"/>
    <n v="85"/>
    <n v="24"/>
    <n v="4272"/>
    <n v="1690"/>
    <d v="2025-03-14T00:00:00"/>
    <n v="3.7199124726477024E-2"/>
    <n v="0.28235294117647058"/>
    <n v="1.527810650887574"/>
  </r>
  <r>
    <n v="169"/>
    <n v="34"/>
    <x v="0"/>
    <x v="1"/>
    <s v="CMP100"/>
    <x v="2"/>
    <n v="653"/>
    <n v="499"/>
    <n v="77"/>
    <n v="9163"/>
    <n v="912"/>
    <d v="2025-03-30T00:00:00"/>
    <n v="0.76416539050535992"/>
    <n v="0.15430861723446893"/>
    <n v="9.0471491228070171"/>
  </r>
  <r>
    <n v="170"/>
    <n v="52"/>
    <x v="1"/>
    <x v="1"/>
    <s v="CMP102"/>
    <x v="2"/>
    <n v="560"/>
    <n v="476"/>
    <n v="46"/>
    <n v="5428"/>
    <n v="224"/>
    <d v="2025-04-24T00:00:00"/>
    <n v="0.85"/>
    <n v="9.6638655462184878E-2"/>
    <n v="23.232142857142858"/>
  </r>
  <r>
    <n v="171"/>
    <n v="51"/>
    <x v="0"/>
    <x v="5"/>
    <s v="CMP102"/>
    <x v="4"/>
    <n v="1752"/>
    <n v="157"/>
    <n v="48"/>
    <n v="8304"/>
    <n v="1658"/>
    <d v="2025-04-11T00:00:00"/>
    <n v="8.9611872146118723E-2"/>
    <n v="0.30573248407643311"/>
    <n v="4.0084439083232812"/>
  </r>
  <r>
    <n v="172"/>
    <n v="27"/>
    <x v="1"/>
    <x v="1"/>
    <s v="CMP108"/>
    <x v="0"/>
    <n v="3615"/>
    <n v="492"/>
    <n v="53"/>
    <n v="5088"/>
    <n v="1156"/>
    <d v="2025-02-24T00:00:00"/>
    <n v="0.13609958506224065"/>
    <n v="0.10772357723577236"/>
    <n v="3.4013840830449826"/>
  </r>
  <r>
    <n v="173"/>
    <n v="40"/>
    <x v="1"/>
    <x v="0"/>
    <s v="CMP104"/>
    <x v="4"/>
    <n v="4607"/>
    <n v="367"/>
    <n v="12"/>
    <n v="1920"/>
    <n v="860"/>
    <d v="2025-04-28T00:00:00"/>
    <n v="7.9661384849142605E-2"/>
    <n v="3.2697547683923703E-2"/>
    <n v="1.2325581395348837"/>
  </r>
  <r>
    <n v="174"/>
    <n v="29"/>
    <x v="0"/>
    <x v="1"/>
    <s v="CMP109"/>
    <x v="1"/>
    <n v="1209"/>
    <n v="249"/>
    <n v="29"/>
    <n v="4872"/>
    <n v="665"/>
    <d v="2025-04-15T00:00:00"/>
    <n v="0.20595533498759305"/>
    <n v="0.11646586345381527"/>
    <n v="6.3263157894736839"/>
  </r>
  <r>
    <n v="175"/>
    <n v="34"/>
    <x v="1"/>
    <x v="2"/>
    <s v="CMP106"/>
    <x v="2"/>
    <n v="546"/>
    <n v="337"/>
    <n v="14"/>
    <n v="2100"/>
    <n v="1239"/>
    <d v="2025-01-26T00:00:00"/>
    <n v="0.61721611721611724"/>
    <n v="4.1543026706231452E-2"/>
    <n v="0.69491525423728817"/>
  </r>
  <r>
    <n v="176"/>
    <n v="24"/>
    <x v="1"/>
    <x v="1"/>
    <s v="CMP108"/>
    <x v="4"/>
    <n v="3657"/>
    <n v="299"/>
    <n v="11"/>
    <n v="2156"/>
    <n v="534"/>
    <d v="2025-04-25T00:00:00"/>
    <n v="8.1761006289308172E-2"/>
    <n v="3.678929765886288E-2"/>
    <n v="3.0374531835205993"/>
  </r>
  <r>
    <n v="177"/>
    <n v="34"/>
    <x v="0"/>
    <x v="2"/>
    <s v="CMP107"/>
    <x v="2"/>
    <n v="2021"/>
    <n v="364"/>
    <n v="43"/>
    <n v="4171"/>
    <n v="1194"/>
    <d v="2025-04-09T00:00:00"/>
    <n v="0.18010885700148441"/>
    <n v="0.11813186813186813"/>
    <n v="2.4932998324958122"/>
  </r>
  <r>
    <n v="178"/>
    <n v="54"/>
    <x v="0"/>
    <x v="3"/>
    <s v="CMP107"/>
    <x v="0"/>
    <n v="3167"/>
    <n v="237"/>
    <n v="49"/>
    <n v="4018"/>
    <n v="1321"/>
    <d v="2025-03-31T00:00:00"/>
    <n v="7.4834227976002532E-2"/>
    <n v="0.20675105485232068"/>
    <n v="2.0416351249053748"/>
  </r>
  <r>
    <n v="179"/>
    <n v="21"/>
    <x v="0"/>
    <x v="5"/>
    <s v="CMP105"/>
    <x v="4"/>
    <n v="4778"/>
    <n v="413"/>
    <n v="43"/>
    <n v="8557"/>
    <n v="1750"/>
    <d v="2025-01-25T00:00:00"/>
    <n v="8.6437840100460447E-2"/>
    <n v="0.10411622276029056"/>
    <n v="3.8897142857142857"/>
  </r>
  <r>
    <n v="180"/>
    <n v="19"/>
    <x v="0"/>
    <x v="3"/>
    <s v="CMP106"/>
    <x v="1"/>
    <n v="3269"/>
    <n v="210"/>
    <n v="20"/>
    <n v="2420"/>
    <n v="692"/>
    <d v="2025-04-09T00:00:00"/>
    <n v="6.4239828693790149E-2"/>
    <n v="9.5238095238095233E-2"/>
    <n v="2.4971098265895955"/>
  </r>
  <r>
    <n v="181"/>
    <n v="30"/>
    <x v="0"/>
    <x v="4"/>
    <s v="CMP101"/>
    <x v="1"/>
    <n v="3741"/>
    <n v="83"/>
    <n v="34"/>
    <n v="6732"/>
    <n v="450"/>
    <d v="2025-02-01T00:00:00"/>
    <n v="2.2186581128040631E-2"/>
    <n v="0.40963855421686746"/>
    <n v="13.96"/>
  </r>
  <r>
    <n v="182"/>
    <n v="46"/>
    <x v="1"/>
    <x v="1"/>
    <s v="CMP100"/>
    <x v="2"/>
    <n v="4310"/>
    <n v="428"/>
    <n v="43"/>
    <n v="8385"/>
    <n v="1013"/>
    <d v="2025-04-03T00:00:00"/>
    <n v="9.9303944315545248E-2"/>
    <n v="0.10046728971962617"/>
    <n v="7.277393879565647"/>
  </r>
  <r>
    <n v="183"/>
    <n v="27"/>
    <x v="0"/>
    <x v="3"/>
    <s v="CMP108"/>
    <x v="0"/>
    <n v="4913"/>
    <n v="294"/>
    <n v="61"/>
    <n v="8235"/>
    <n v="471"/>
    <d v="2025-04-13T00:00:00"/>
    <n v="5.9841237533075513E-2"/>
    <n v="0.20748299319727892"/>
    <n v="16.484076433121018"/>
  </r>
  <r>
    <n v="184"/>
    <n v="31"/>
    <x v="0"/>
    <x v="0"/>
    <s v="CMP107"/>
    <x v="2"/>
    <n v="4935"/>
    <n v="438"/>
    <n v="69"/>
    <n v="5658"/>
    <n v="1912"/>
    <d v="2025-01-30T00:00:00"/>
    <n v="8.8753799392097266E-2"/>
    <n v="0.15753424657534246"/>
    <n v="1.9592050209205021"/>
  </r>
  <r>
    <n v="185"/>
    <n v="18"/>
    <x v="1"/>
    <x v="1"/>
    <s v="CMP104"/>
    <x v="2"/>
    <n v="2533"/>
    <n v="373"/>
    <n v="22"/>
    <n v="2288"/>
    <n v="492"/>
    <d v="2025-04-20T00:00:00"/>
    <n v="0.14725621792341098"/>
    <n v="5.8981233243967826E-2"/>
    <n v="3.6504065040650406"/>
  </r>
  <r>
    <n v="186"/>
    <n v="29"/>
    <x v="0"/>
    <x v="4"/>
    <s v="CMP109"/>
    <x v="2"/>
    <n v="3132"/>
    <n v="448"/>
    <n v="53"/>
    <n v="7791"/>
    <n v="1567"/>
    <d v="2025-02-06T00:00:00"/>
    <n v="0.14303959131545338"/>
    <n v="0.11830357142857142"/>
    <n v="3.9719208679004465"/>
  </r>
  <r>
    <n v="187"/>
    <n v="41"/>
    <x v="1"/>
    <x v="1"/>
    <s v="CMP101"/>
    <x v="0"/>
    <n v="2608"/>
    <n v="476"/>
    <n v="74"/>
    <n v="9990"/>
    <n v="1006"/>
    <d v="2025-01-25T00:00:00"/>
    <n v="0.18251533742331288"/>
    <n v="0.15546218487394958"/>
    <n v="8.9304174950298219"/>
  </r>
  <r>
    <n v="188"/>
    <n v="43"/>
    <x v="1"/>
    <x v="2"/>
    <s v="CMP108"/>
    <x v="4"/>
    <n v="1384"/>
    <n v="292"/>
    <n v="78"/>
    <n v="13806"/>
    <n v="1330"/>
    <d v="2025-04-23T00:00:00"/>
    <n v="0.21098265895953758"/>
    <n v="0.26712328767123289"/>
    <n v="9.3804511278195495"/>
  </r>
  <r>
    <n v="189"/>
    <n v="40"/>
    <x v="1"/>
    <x v="5"/>
    <s v="CMP100"/>
    <x v="2"/>
    <n v="3053"/>
    <n v="308"/>
    <n v="10"/>
    <n v="840"/>
    <n v="1740"/>
    <d v="2025-01-09T00:00:00"/>
    <n v="0.10088437602358336"/>
    <n v="3.2467532467532464E-2"/>
    <n v="-0.51724137931034486"/>
  </r>
  <r>
    <n v="190"/>
    <n v="35"/>
    <x v="0"/>
    <x v="4"/>
    <s v="CMP100"/>
    <x v="0"/>
    <n v="3670"/>
    <n v="69"/>
    <n v="65"/>
    <n v="7410"/>
    <n v="1713"/>
    <d v="2025-03-29T00:00:00"/>
    <n v="1.8801089918256131E-2"/>
    <n v="0.94202898550724634"/>
    <n v="3.3257443082311733"/>
  </r>
  <r>
    <n v="191"/>
    <n v="42"/>
    <x v="1"/>
    <x v="1"/>
    <s v="CMP108"/>
    <x v="1"/>
    <n v="502"/>
    <n v="209"/>
    <n v="17"/>
    <n v="3230"/>
    <n v="1343"/>
    <d v="2025-03-09T00:00:00"/>
    <n v="0.41633466135458169"/>
    <n v="8.1339712918660281E-2"/>
    <n v="1.4050632911392404"/>
  </r>
  <r>
    <n v="192"/>
    <n v="20"/>
    <x v="1"/>
    <x v="5"/>
    <s v="CMP108"/>
    <x v="1"/>
    <n v="2433"/>
    <n v="406"/>
    <n v="15"/>
    <n v="2025"/>
    <n v="1840"/>
    <d v="2025-03-08T00:00:00"/>
    <n v="0.16687217427044801"/>
    <n v="3.6945812807881777E-2"/>
    <n v="0.10054347826086957"/>
  </r>
  <r>
    <n v="193"/>
    <n v="42"/>
    <x v="0"/>
    <x v="5"/>
    <s v="CMP104"/>
    <x v="3"/>
    <n v="1855"/>
    <n v="219"/>
    <n v="13"/>
    <n v="1547"/>
    <n v="1686"/>
    <d v="2025-01-11T00:00:00"/>
    <n v="0.11805929919137466"/>
    <n v="5.9360730593607303E-2"/>
    <n v="-8.244365361803084E-2"/>
  </r>
  <r>
    <n v="194"/>
    <n v="43"/>
    <x v="1"/>
    <x v="0"/>
    <s v="CMP101"/>
    <x v="4"/>
    <n v="1454"/>
    <n v="275"/>
    <n v="42"/>
    <n v="3528"/>
    <n v="527"/>
    <d v="2025-03-11T00:00:00"/>
    <n v="0.1891334250343879"/>
    <n v="0.15272727272727274"/>
    <n v="5.6944971537001896"/>
  </r>
  <r>
    <n v="195"/>
    <n v="22"/>
    <x v="0"/>
    <x v="5"/>
    <s v="CMP100"/>
    <x v="0"/>
    <n v="536"/>
    <n v="365"/>
    <n v="52"/>
    <n v="5564"/>
    <n v="1172"/>
    <d v="2025-04-24T00:00:00"/>
    <n v="0.68097014925373134"/>
    <n v="0.14246575342465753"/>
    <n v="3.7474402730375425"/>
  </r>
  <r>
    <n v="196"/>
    <n v="20"/>
    <x v="0"/>
    <x v="4"/>
    <s v="CMP107"/>
    <x v="2"/>
    <n v="3611"/>
    <n v="350"/>
    <n v="66"/>
    <n v="12804"/>
    <n v="548"/>
    <d v="2025-02-09T00:00:00"/>
    <n v="9.6926059263361952E-2"/>
    <n v="0.18857142857142858"/>
    <n v="22.364963503649633"/>
  </r>
  <r>
    <n v="197"/>
    <n v="36"/>
    <x v="1"/>
    <x v="0"/>
    <s v="CMP107"/>
    <x v="1"/>
    <n v="4430"/>
    <n v="286"/>
    <n v="37"/>
    <n v="6179"/>
    <n v="1485"/>
    <d v="2025-04-02T00:00:00"/>
    <n v="6.4559819413092551E-2"/>
    <n v="0.12937062937062938"/>
    <n v="3.1609427609427607"/>
  </r>
  <r>
    <n v="198"/>
    <n v="53"/>
    <x v="1"/>
    <x v="5"/>
    <s v="CMP105"/>
    <x v="0"/>
    <n v="2204"/>
    <n v="318"/>
    <n v="49"/>
    <n v="6468"/>
    <n v="1568"/>
    <d v="2025-03-01T00:00:00"/>
    <n v="0.14428312159709619"/>
    <n v="0.1540880503144654"/>
    <n v="3.125"/>
  </r>
  <r>
    <n v="199"/>
    <n v="27"/>
    <x v="0"/>
    <x v="0"/>
    <s v="CMP104"/>
    <x v="4"/>
    <n v="1056"/>
    <n v="363"/>
    <n v="35"/>
    <n v="4235"/>
    <n v="734"/>
    <d v="2025-01-30T00:00:00"/>
    <n v="0.34375"/>
    <n v="9.6418732782369149E-2"/>
    <n v="4.7697547683923709"/>
  </r>
  <r>
    <n v="200"/>
    <n v="46"/>
    <x v="0"/>
    <x v="0"/>
    <s v="CMP106"/>
    <x v="1"/>
    <n v="2074"/>
    <n v="464"/>
    <n v="6"/>
    <n v="936"/>
    <n v="1941"/>
    <d v="2025-03-07T00:00:00"/>
    <n v="0.22372227579556414"/>
    <n v="1.2931034482758621E-2"/>
    <n v="-0.51777434312210202"/>
  </r>
  <r>
    <n v="201"/>
    <n v="51"/>
    <x v="0"/>
    <x v="5"/>
    <s v="CMP107"/>
    <x v="3"/>
    <n v="3617"/>
    <n v="204"/>
    <n v="21"/>
    <n v="3654"/>
    <n v="559"/>
    <d v="2025-04-19T00:00:00"/>
    <n v="5.6400331766657451E-2"/>
    <n v="0.10294117647058823"/>
    <n v="5.5366726296958859"/>
  </r>
  <r>
    <n v="202"/>
    <n v="49"/>
    <x v="0"/>
    <x v="2"/>
    <s v="CMP101"/>
    <x v="4"/>
    <n v="1507"/>
    <n v="375"/>
    <n v="34"/>
    <n v="5202"/>
    <n v="1678"/>
    <d v="2025-03-04T00:00:00"/>
    <n v="0.24883875248838752"/>
    <n v="9.0666666666666673E-2"/>
    <n v="2.1001191895113229"/>
  </r>
  <r>
    <n v="203"/>
    <n v="21"/>
    <x v="0"/>
    <x v="1"/>
    <s v="CMP103"/>
    <x v="2"/>
    <n v="1935"/>
    <n v="109"/>
    <n v="41"/>
    <n v="4141"/>
    <n v="1188"/>
    <d v="2025-04-06T00:00:00"/>
    <n v="5.6330749354005165E-2"/>
    <n v="0.37614678899082571"/>
    <n v="2.4856902356902357"/>
  </r>
  <r>
    <n v="204"/>
    <n v="39"/>
    <x v="1"/>
    <x v="5"/>
    <s v="CMP100"/>
    <x v="2"/>
    <n v="1765"/>
    <n v="373"/>
    <n v="68"/>
    <n v="6188"/>
    <n v="1240"/>
    <d v="2025-01-10T00:00:00"/>
    <n v="0.21133144475920679"/>
    <n v="0.18230563002680966"/>
    <n v="3.9903225806451612"/>
  </r>
  <r>
    <n v="205"/>
    <n v="35"/>
    <x v="1"/>
    <x v="2"/>
    <s v="CMP101"/>
    <x v="1"/>
    <n v="1385"/>
    <n v="242"/>
    <n v="26"/>
    <n v="5174"/>
    <n v="673"/>
    <d v="2025-01-14T00:00:00"/>
    <n v="0.17472924187725633"/>
    <n v="0.10743801652892562"/>
    <n v="6.6879643387815753"/>
  </r>
  <r>
    <n v="206"/>
    <n v="29"/>
    <x v="1"/>
    <x v="0"/>
    <s v="CMP106"/>
    <x v="0"/>
    <n v="1186"/>
    <n v="334"/>
    <n v="40"/>
    <n v="7120"/>
    <n v="962"/>
    <d v="2025-01-29T00:00:00"/>
    <n v="0.28161888701517707"/>
    <n v="0.11976047904191617"/>
    <n v="6.4012474012474012"/>
  </r>
  <r>
    <n v="207"/>
    <n v="49"/>
    <x v="1"/>
    <x v="1"/>
    <s v="CMP102"/>
    <x v="4"/>
    <n v="1406"/>
    <n v="82"/>
    <n v="10"/>
    <n v="1580"/>
    <n v="1078"/>
    <d v="2025-03-16T00:00:00"/>
    <n v="5.8321479374110953E-2"/>
    <n v="0.12195121951219512"/>
    <n v="0.46567717996289426"/>
  </r>
  <r>
    <n v="208"/>
    <n v="52"/>
    <x v="0"/>
    <x v="0"/>
    <s v="CMP108"/>
    <x v="2"/>
    <n v="4109"/>
    <n v="479"/>
    <n v="33"/>
    <n v="5280"/>
    <n v="715"/>
    <d v="2025-02-08T00:00:00"/>
    <n v="0.11657337551715746"/>
    <n v="6.889352818371608E-2"/>
    <n v="6.384615384615385"/>
  </r>
  <r>
    <n v="209"/>
    <n v="49"/>
    <x v="0"/>
    <x v="1"/>
    <s v="CMP101"/>
    <x v="2"/>
    <n v="3842"/>
    <n v="424"/>
    <n v="33"/>
    <n v="5082"/>
    <n v="356"/>
    <d v="2025-02-16T00:00:00"/>
    <n v="0.11035918792295679"/>
    <n v="7.783018867924528E-2"/>
    <n v="13.275280898876405"/>
  </r>
  <r>
    <n v="210"/>
    <n v="34"/>
    <x v="0"/>
    <x v="4"/>
    <s v="CMP107"/>
    <x v="4"/>
    <n v="3655"/>
    <n v="71"/>
    <n v="79"/>
    <n v="11534"/>
    <n v="1762"/>
    <d v="2025-04-02T00:00:00"/>
    <n v="1.9425444596443228E-2"/>
    <n v="1.1126760563380282"/>
    <n v="5.5459704880817249"/>
  </r>
  <r>
    <n v="211"/>
    <n v="37"/>
    <x v="0"/>
    <x v="2"/>
    <s v="CMP105"/>
    <x v="0"/>
    <n v="1488"/>
    <n v="70"/>
    <n v="51"/>
    <n v="7038"/>
    <n v="1068"/>
    <d v="2025-01-19T00:00:00"/>
    <n v="4.7043010752688172E-2"/>
    <n v="0.72857142857142854"/>
    <n v="5.5898876404494384"/>
  </r>
  <r>
    <n v="212"/>
    <n v="52"/>
    <x v="0"/>
    <x v="0"/>
    <s v="CMP100"/>
    <x v="3"/>
    <n v="4463"/>
    <n v="471"/>
    <n v="19"/>
    <n v="2660"/>
    <n v="1385"/>
    <d v="2025-01-25T00:00:00"/>
    <n v="0.10553439390544476"/>
    <n v="4.0339702760084924E-2"/>
    <n v="0.92057761732851984"/>
  </r>
  <r>
    <n v="213"/>
    <n v="33"/>
    <x v="1"/>
    <x v="1"/>
    <s v="CMP107"/>
    <x v="3"/>
    <n v="1291"/>
    <n v="61"/>
    <n v="22"/>
    <n v="4114"/>
    <n v="1494"/>
    <d v="2025-03-01T00:00:00"/>
    <n v="4.7250193648334625E-2"/>
    <n v="0.36065573770491804"/>
    <n v="1.7536813922356091"/>
  </r>
  <r>
    <n v="214"/>
    <n v="44"/>
    <x v="0"/>
    <x v="1"/>
    <s v="CMP101"/>
    <x v="2"/>
    <n v="1484"/>
    <n v="194"/>
    <n v="57"/>
    <n v="9006"/>
    <n v="719"/>
    <d v="2025-04-26T00:00:00"/>
    <n v="0.1307277628032345"/>
    <n v="0.29381443298969073"/>
    <n v="11.525730180806676"/>
  </r>
  <r>
    <n v="215"/>
    <n v="20"/>
    <x v="1"/>
    <x v="3"/>
    <s v="CMP103"/>
    <x v="3"/>
    <n v="4944"/>
    <n v="497"/>
    <n v="48"/>
    <n v="4944"/>
    <n v="892"/>
    <d v="2025-02-15T00:00:00"/>
    <n v="0.10052588996763755"/>
    <n v="9.6579476861166996E-2"/>
    <n v="4.5426008968609866"/>
  </r>
  <r>
    <n v="216"/>
    <n v="37"/>
    <x v="0"/>
    <x v="3"/>
    <s v="CMP103"/>
    <x v="0"/>
    <n v="1026"/>
    <n v="202"/>
    <n v="75"/>
    <n v="14025"/>
    <n v="1496"/>
    <d v="2025-01-09T00:00:00"/>
    <n v="0.19688109161793371"/>
    <n v="0.37128712871287128"/>
    <n v="8.375"/>
  </r>
  <r>
    <n v="217"/>
    <n v="19"/>
    <x v="0"/>
    <x v="2"/>
    <s v="CMP107"/>
    <x v="0"/>
    <n v="1516"/>
    <n v="493"/>
    <n v="67"/>
    <n v="13199"/>
    <n v="925"/>
    <d v="2025-03-13T00:00:00"/>
    <n v="0.32519788918205805"/>
    <n v="0.13590263691683571"/>
    <n v="13.26918918918919"/>
  </r>
  <r>
    <n v="218"/>
    <n v="35"/>
    <x v="1"/>
    <x v="1"/>
    <s v="CMP105"/>
    <x v="2"/>
    <n v="894"/>
    <n v="113"/>
    <n v="76"/>
    <n v="13148"/>
    <n v="473"/>
    <d v="2025-02-01T00:00:00"/>
    <n v="0.12639821029082773"/>
    <n v="0.67256637168141598"/>
    <n v="26.797040169133194"/>
  </r>
  <r>
    <n v="219"/>
    <n v="39"/>
    <x v="0"/>
    <x v="2"/>
    <s v="CMP102"/>
    <x v="0"/>
    <n v="1228"/>
    <n v="338"/>
    <n v="45"/>
    <n v="4050"/>
    <n v="1615"/>
    <d v="2025-03-29T00:00:00"/>
    <n v="0.27524429967426711"/>
    <n v="0.13313609467455623"/>
    <n v="1.5077399380804954"/>
  </r>
  <r>
    <n v="220"/>
    <n v="33"/>
    <x v="0"/>
    <x v="0"/>
    <s v="CMP105"/>
    <x v="0"/>
    <n v="2076"/>
    <n v="450"/>
    <n v="50"/>
    <n v="7900"/>
    <n v="1895"/>
    <d v="2025-03-27T00:00:00"/>
    <n v="0.21676300578034682"/>
    <n v="0.1111111111111111"/>
    <n v="3.1688654353562007"/>
  </r>
  <r>
    <n v="221"/>
    <n v="19"/>
    <x v="1"/>
    <x v="1"/>
    <s v="CMP100"/>
    <x v="1"/>
    <n v="3220"/>
    <n v="251"/>
    <n v="44"/>
    <n v="7744"/>
    <n v="441"/>
    <d v="2025-02-02T00:00:00"/>
    <n v="7.7950310559006211E-2"/>
    <n v="0.1752988047808765"/>
    <n v="16.560090702947846"/>
  </r>
  <r>
    <n v="222"/>
    <n v="43"/>
    <x v="0"/>
    <x v="5"/>
    <s v="CMP105"/>
    <x v="1"/>
    <n v="4544"/>
    <n v="463"/>
    <n v="37"/>
    <n v="7215"/>
    <n v="788"/>
    <d v="2025-04-13T00:00:00"/>
    <n v="0.10189260563380281"/>
    <n v="7.9913606911447083E-2"/>
    <n v="8.1560913705583751"/>
  </r>
  <r>
    <n v="223"/>
    <n v="32"/>
    <x v="0"/>
    <x v="3"/>
    <s v="CMP101"/>
    <x v="3"/>
    <n v="2741"/>
    <n v="215"/>
    <n v="50"/>
    <n v="9650"/>
    <n v="321"/>
    <d v="2025-04-16T00:00:00"/>
    <n v="7.8438526085370303E-2"/>
    <n v="0.23255813953488372"/>
    <n v="29.062305295950157"/>
  </r>
  <r>
    <n v="224"/>
    <n v="23"/>
    <x v="0"/>
    <x v="3"/>
    <s v="CMP108"/>
    <x v="1"/>
    <n v="1386"/>
    <n v="477"/>
    <n v="53"/>
    <n v="7738"/>
    <n v="516"/>
    <d v="2025-01-06T00:00:00"/>
    <n v="0.34415584415584416"/>
    <n v="0.1111111111111111"/>
    <n v="13.996124031007753"/>
  </r>
  <r>
    <n v="225"/>
    <n v="29"/>
    <x v="0"/>
    <x v="4"/>
    <s v="CMP107"/>
    <x v="0"/>
    <n v="3644"/>
    <n v="408"/>
    <n v="36"/>
    <n v="6948"/>
    <n v="752"/>
    <d v="2025-03-13T00:00:00"/>
    <n v="0.1119648737650933"/>
    <n v="8.8235294117647065E-2"/>
    <n v="8.2393617021276597"/>
  </r>
  <r>
    <n v="226"/>
    <n v="24"/>
    <x v="0"/>
    <x v="2"/>
    <s v="CMP103"/>
    <x v="4"/>
    <n v="2213"/>
    <n v="397"/>
    <n v="66"/>
    <n v="9306"/>
    <n v="1307"/>
    <d v="2025-03-21T00:00:00"/>
    <n v="0.17939448712155445"/>
    <n v="0.16624685138539042"/>
    <n v="6.120122417750574"/>
  </r>
  <r>
    <n v="227"/>
    <n v="20"/>
    <x v="1"/>
    <x v="0"/>
    <s v="CMP108"/>
    <x v="0"/>
    <n v="1399"/>
    <n v="439"/>
    <n v="62"/>
    <n v="6510"/>
    <n v="221"/>
    <d v="2025-03-01T00:00:00"/>
    <n v="0.31379556826304505"/>
    <n v="0.14123006833712984"/>
    <n v="28.457013574660632"/>
  </r>
  <r>
    <n v="228"/>
    <n v="36"/>
    <x v="1"/>
    <x v="0"/>
    <s v="CMP106"/>
    <x v="3"/>
    <n v="4609"/>
    <n v="61"/>
    <n v="16"/>
    <n v="1664"/>
    <n v="1108"/>
    <d v="2025-04-20T00:00:00"/>
    <n v="1.3234975048817531E-2"/>
    <n v="0.26229508196721313"/>
    <n v="0.50180505415162457"/>
  </r>
  <r>
    <n v="229"/>
    <n v="49"/>
    <x v="1"/>
    <x v="2"/>
    <s v="CMP102"/>
    <x v="2"/>
    <n v="3927"/>
    <n v="222"/>
    <n v="12"/>
    <n v="2376"/>
    <n v="1956"/>
    <d v="2025-02-13T00:00:00"/>
    <n v="5.6531703590527123E-2"/>
    <n v="5.4054054054054057E-2"/>
    <n v="0.21472392638036811"/>
  </r>
  <r>
    <n v="230"/>
    <n v="20"/>
    <x v="0"/>
    <x v="4"/>
    <s v="CMP109"/>
    <x v="2"/>
    <n v="4165"/>
    <n v="451"/>
    <n v="26"/>
    <n v="4550"/>
    <n v="748"/>
    <d v="2025-04-25T00:00:00"/>
    <n v="0.10828331332533013"/>
    <n v="5.7649667405764965E-2"/>
    <n v="5.0828877005347595"/>
  </r>
  <r>
    <n v="231"/>
    <n v="24"/>
    <x v="0"/>
    <x v="5"/>
    <s v="CMP100"/>
    <x v="2"/>
    <n v="4630"/>
    <n v="494"/>
    <n v="58"/>
    <n v="10208"/>
    <n v="1430"/>
    <d v="2025-04-04T00:00:00"/>
    <n v="0.10669546436285098"/>
    <n v="0.11740890688259109"/>
    <n v="6.1384615384615389"/>
  </r>
  <r>
    <n v="232"/>
    <n v="54"/>
    <x v="1"/>
    <x v="2"/>
    <s v="CMP103"/>
    <x v="2"/>
    <n v="658"/>
    <n v="491"/>
    <n v="65"/>
    <n v="6435"/>
    <n v="223"/>
    <d v="2025-04-02T00:00:00"/>
    <n v="0.74620060790273557"/>
    <n v="0.13238289205702647"/>
    <n v="27.856502242152466"/>
  </r>
  <r>
    <n v="233"/>
    <n v="49"/>
    <x v="0"/>
    <x v="0"/>
    <s v="CMP108"/>
    <x v="0"/>
    <n v="1887"/>
    <n v="431"/>
    <n v="24"/>
    <n v="2472"/>
    <n v="1155"/>
    <d v="2025-02-05T00:00:00"/>
    <n v="0.228404875463699"/>
    <n v="5.5684454756380508E-2"/>
    <n v="1.1402597402597403"/>
  </r>
  <r>
    <n v="234"/>
    <n v="53"/>
    <x v="0"/>
    <x v="0"/>
    <s v="CMP105"/>
    <x v="1"/>
    <n v="1773"/>
    <n v="166"/>
    <n v="70"/>
    <n v="7910"/>
    <n v="534"/>
    <d v="2025-02-08T00:00:00"/>
    <n v="9.3626621545403271E-2"/>
    <n v="0.42168674698795183"/>
    <n v="13.812734082397004"/>
  </r>
  <r>
    <n v="235"/>
    <n v="20"/>
    <x v="1"/>
    <x v="2"/>
    <s v="CMP101"/>
    <x v="2"/>
    <n v="4509"/>
    <n v="292"/>
    <n v="62"/>
    <n v="5642"/>
    <n v="1469"/>
    <d v="2025-02-09T00:00:00"/>
    <n v="6.4759370148591705E-2"/>
    <n v="0.21232876712328766"/>
    <n v="2.8407079646017701"/>
  </r>
  <r>
    <n v="236"/>
    <n v="47"/>
    <x v="0"/>
    <x v="2"/>
    <s v="CMP106"/>
    <x v="1"/>
    <n v="3458"/>
    <n v="274"/>
    <n v="30"/>
    <n v="5370"/>
    <n v="1743"/>
    <d v="2025-02-11T00:00:00"/>
    <n v="7.9236552920763453E-2"/>
    <n v="0.10948905109489052"/>
    <n v="2.080895008605852"/>
  </r>
  <r>
    <n v="237"/>
    <n v="22"/>
    <x v="0"/>
    <x v="2"/>
    <s v="CMP105"/>
    <x v="4"/>
    <n v="1439"/>
    <n v="63"/>
    <n v="6"/>
    <n v="696"/>
    <n v="574"/>
    <d v="2025-04-19T00:00:00"/>
    <n v="4.378040305767894E-2"/>
    <n v="9.5238095238095233E-2"/>
    <n v="0.21254355400696864"/>
  </r>
  <r>
    <n v="238"/>
    <n v="42"/>
    <x v="1"/>
    <x v="3"/>
    <s v="CMP103"/>
    <x v="4"/>
    <n v="2865"/>
    <n v="365"/>
    <n v="18"/>
    <n v="3276"/>
    <n v="703"/>
    <d v="2025-01-02T00:00:00"/>
    <n v="0.12739965095986039"/>
    <n v="4.9315068493150684E-2"/>
    <n v="3.6600284495021338"/>
  </r>
  <r>
    <n v="239"/>
    <n v="45"/>
    <x v="0"/>
    <x v="5"/>
    <s v="CMP101"/>
    <x v="2"/>
    <n v="4314"/>
    <n v="375"/>
    <n v="21"/>
    <n v="3528"/>
    <n v="1090"/>
    <d v="2025-02-04T00:00:00"/>
    <n v="8.6926286509040329E-2"/>
    <n v="5.6000000000000001E-2"/>
    <n v="2.236697247706422"/>
  </r>
  <r>
    <n v="240"/>
    <n v="53"/>
    <x v="1"/>
    <x v="4"/>
    <s v="CMP106"/>
    <x v="1"/>
    <n v="1752"/>
    <n v="310"/>
    <n v="69"/>
    <n v="10695"/>
    <n v="1647"/>
    <d v="2025-02-16T00:00:00"/>
    <n v="0.1769406392694064"/>
    <n v="0.22258064516129034"/>
    <n v="5.4936247723132965"/>
  </r>
  <r>
    <n v="241"/>
    <n v="33"/>
    <x v="0"/>
    <x v="5"/>
    <s v="CMP109"/>
    <x v="4"/>
    <n v="3966"/>
    <n v="59"/>
    <n v="71"/>
    <n v="6603"/>
    <n v="829"/>
    <d v="2025-04-03T00:00:00"/>
    <n v="1.4876449823499747E-2"/>
    <n v="1.2033898305084745"/>
    <n v="6.9650180940892641"/>
  </r>
  <r>
    <n v="242"/>
    <n v="25"/>
    <x v="0"/>
    <x v="2"/>
    <s v="CMP100"/>
    <x v="4"/>
    <n v="3391"/>
    <n v="399"/>
    <n v="5"/>
    <n v="495"/>
    <n v="332"/>
    <d v="2025-02-26T00:00:00"/>
    <n v="0.11766440578000589"/>
    <n v="1.2531328320802004E-2"/>
    <n v="0.49096385542168675"/>
  </r>
  <r>
    <n v="243"/>
    <n v="54"/>
    <x v="0"/>
    <x v="5"/>
    <s v="CMP104"/>
    <x v="4"/>
    <n v="1075"/>
    <n v="423"/>
    <n v="32"/>
    <n v="5952"/>
    <n v="1344"/>
    <d v="2025-03-17T00:00:00"/>
    <n v="0.39348837209302323"/>
    <n v="7.5650118203309691E-2"/>
    <n v="3.4285714285714284"/>
  </r>
  <r>
    <n v="244"/>
    <n v="32"/>
    <x v="0"/>
    <x v="2"/>
    <s v="CMP105"/>
    <x v="0"/>
    <n v="2712"/>
    <n v="354"/>
    <n v="48"/>
    <n v="9120"/>
    <n v="355"/>
    <d v="2025-04-18T00:00:00"/>
    <n v="0.13053097345132744"/>
    <n v="0.13559322033898305"/>
    <n v="24.690140845070424"/>
  </r>
  <r>
    <n v="245"/>
    <n v="26"/>
    <x v="1"/>
    <x v="5"/>
    <s v="CMP104"/>
    <x v="4"/>
    <n v="1774"/>
    <n v="494"/>
    <n v="24"/>
    <n v="1944"/>
    <n v="533"/>
    <d v="2025-01-20T00:00:00"/>
    <n v="0.27846674182638104"/>
    <n v="4.8582995951417005E-2"/>
    <n v="2.6472795497185739"/>
  </r>
  <r>
    <n v="246"/>
    <n v="23"/>
    <x v="0"/>
    <x v="0"/>
    <s v="CMP104"/>
    <x v="3"/>
    <n v="781"/>
    <n v="334"/>
    <n v="5"/>
    <n v="570"/>
    <n v="318"/>
    <d v="2025-04-27T00:00:00"/>
    <n v="0.42765685019206146"/>
    <n v="1.4970059880239521E-2"/>
    <n v="0.79245283018867929"/>
  </r>
  <r>
    <n v="247"/>
    <n v="41"/>
    <x v="0"/>
    <x v="3"/>
    <s v="CMP101"/>
    <x v="1"/>
    <n v="1508"/>
    <n v="228"/>
    <n v="16"/>
    <n v="1584"/>
    <n v="689"/>
    <d v="2025-03-30T00:00:00"/>
    <n v="0.15119363395225463"/>
    <n v="7.0175438596491224E-2"/>
    <n v="1.2989840348330914"/>
  </r>
  <r>
    <n v="248"/>
    <n v="40"/>
    <x v="1"/>
    <x v="0"/>
    <s v="CMP105"/>
    <x v="4"/>
    <n v="4368"/>
    <n v="234"/>
    <n v="43"/>
    <n v="5805"/>
    <n v="1446"/>
    <d v="2025-03-25T00:00:00"/>
    <n v="5.3571428571428568E-2"/>
    <n v="0.18376068376068377"/>
    <n v="3.0145228215767634"/>
  </r>
  <r>
    <n v="249"/>
    <n v="25"/>
    <x v="1"/>
    <x v="4"/>
    <s v="CMP101"/>
    <x v="3"/>
    <n v="4903"/>
    <n v="385"/>
    <n v="54"/>
    <n v="10692"/>
    <n v="945"/>
    <d v="2025-03-26T00:00:00"/>
    <n v="7.8523353049153574E-2"/>
    <n v="0.14025974025974025"/>
    <n v="10.314285714285715"/>
  </r>
  <r>
    <n v="250"/>
    <n v="22"/>
    <x v="0"/>
    <x v="1"/>
    <s v="CMP105"/>
    <x v="1"/>
    <n v="628"/>
    <n v="313"/>
    <n v="33"/>
    <n v="5973"/>
    <n v="1575"/>
    <d v="2025-02-16T00:00:00"/>
    <n v="0.49840764331210191"/>
    <n v="0.10543130990415335"/>
    <n v="2.7923809523809524"/>
  </r>
  <r>
    <n v="251"/>
    <n v="27"/>
    <x v="1"/>
    <x v="4"/>
    <s v="CMP101"/>
    <x v="3"/>
    <n v="4373"/>
    <n v="242"/>
    <n v="59"/>
    <n v="9971"/>
    <n v="1342"/>
    <d v="2025-03-23T00:00:00"/>
    <n v="5.5339583809741598E-2"/>
    <n v="0.24380165289256198"/>
    <n v="6.4299552906110282"/>
  </r>
  <r>
    <n v="252"/>
    <n v="21"/>
    <x v="1"/>
    <x v="3"/>
    <s v="CMP100"/>
    <x v="0"/>
    <n v="4219"/>
    <n v="352"/>
    <n v="76"/>
    <n v="9500"/>
    <n v="544"/>
    <d v="2025-01-01T00:00:00"/>
    <n v="8.3432092913012568E-2"/>
    <n v="0.21590909090909091"/>
    <n v="16.463235294117649"/>
  </r>
  <r>
    <n v="253"/>
    <n v="45"/>
    <x v="0"/>
    <x v="3"/>
    <s v="CMP101"/>
    <x v="3"/>
    <n v="3624"/>
    <n v="353"/>
    <n v="73"/>
    <n v="12337"/>
    <n v="560"/>
    <d v="2025-04-24T00:00:00"/>
    <n v="9.7406181015452536E-2"/>
    <n v="0.20679886685552407"/>
    <n v="21.030357142857142"/>
  </r>
  <r>
    <n v="254"/>
    <n v="42"/>
    <x v="0"/>
    <x v="5"/>
    <s v="CMP108"/>
    <x v="2"/>
    <n v="1203"/>
    <n v="112"/>
    <n v="77"/>
    <n v="9240"/>
    <n v="1384"/>
    <d v="2025-04-27T00:00:00"/>
    <n v="9.3100581878636748E-2"/>
    <n v="0.6875"/>
    <n v="5.6763005780346818"/>
  </r>
  <r>
    <n v="255"/>
    <n v="23"/>
    <x v="0"/>
    <x v="2"/>
    <s v="CMP101"/>
    <x v="4"/>
    <n v="3730"/>
    <n v="373"/>
    <n v="8"/>
    <n v="784"/>
    <n v="1837"/>
    <d v="2025-03-23T00:00:00"/>
    <n v="0.1"/>
    <n v="2.1447721179624665E-2"/>
    <n v="-0.57321720195971693"/>
  </r>
  <r>
    <n v="256"/>
    <n v="24"/>
    <x v="1"/>
    <x v="0"/>
    <s v="CMP108"/>
    <x v="3"/>
    <n v="1500"/>
    <n v="328"/>
    <n v="79"/>
    <n v="13193"/>
    <n v="1864"/>
    <d v="2025-03-26T00:00:00"/>
    <n v="0.21866666666666668"/>
    <n v="0.24085365853658536"/>
    <n v="6.0777896995708156"/>
  </r>
  <r>
    <n v="257"/>
    <n v="36"/>
    <x v="0"/>
    <x v="5"/>
    <s v="CMP108"/>
    <x v="1"/>
    <n v="4226"/>
    <n v="114"/>
    <n v="75"/>
    <n v="7500"/>
    <n v="342"/>
    <d v="2025-02-02T00:00:00"/>
    <n v="2.6975863700899196E-2"/>
    <n v="0.65789473684210531"/>
    <n v="20.92982456140351"/>
  </r>
  <r>
    <n v="258"/>
    <n v="28"/>
    <x v="1"/>
    <x v="4"/>
    <s v="CMP102"/>
    <x v="0"/>
    <n v="4900"/>
    <n v="273"/>
    <n v="39"/>
    <n v="6591"/>
    <n v="301"/>
    <d v="2025-03-13T00:00:00"/>
    <n v="5.5714285714285716E-2"/>
    <n v="0.14285714285714285"/>
    <n v="20.897009966777407"/>
  </r>
  <r>
    <n v="259"/>
    <n v="43"/>
    <x v="0"/>
    <x v="5"/>
    <s v="CMP107"/>
    <x v="3"/>
    <n v="3389"/>
    <n v="499"/>
    <n v="50"/>
    <n v="8200"/>
    <n v="1226"/>
    <d v="2025-02-17T00:00:00"/>
    <n v="0.14724107406314546"/>
    <n v="0.10020040080160321"/>
    <n v="5.6884176182707993"/>
  </r>
  <r>
    <n v="260"/>
    <n v="22"/>
    <x v="0"/>
    <x v="2"/>
    <s v="CMP101"/>
    <x v="3"/>
    <n v="3001"/>
    <n v="461"/>
    <n v="30"/>
    <n v="2730"/>
    <n v="864"/>
    <d v="2025-02-17T00:00:00"/>
    <n v="0.15361546151282907"/>
    <n v="6.5075921908893705E-2"/>
    <n v="2.1597222222222223"/>
  </r>
  <r>
    <n v="261"/>
    <n v="40"/>
    <x v="0"/>
    <x v="3"/>
    <s v="CMP105"/>
    <x v="4"/>
    <n v="3864"/>
    <n v="349"/>
    <n v="19"/>
    <n v="2413"/>
    <n v="242"/>
    <d v="2025-02-15T00:00:00"/>
    <n v="9.0320910973084881E-2"/>
    <n v="5.4441260744985676E-2"/>
    <n v="8.9710743801652892"/>
  </r>
  <r>
    <n v="262"/>
    <n v="40"/>
    <x v="1"/>
    <x v="4"/>
    <s v="CMP106"/>
    <x v="1"/>
    <n v="3045"/>
    <n v="413"/>
    <n v="47"/>
    <n v="4700"/>
    <n v="1204"/>
    <d v="2025-03-21T00:00:00"/>
    <n v="0.13563218390804599"/>
    <n v="0.11380145278450363"/>
    <n v="2.903654485049834"/>
  </r>
  <r>
    <n v="263"/>
    <n v="28"/>
    <x v="0"/>
    <x v="0"/>
    <s v="CMP102"/>
    <x v="4"/>
    <n v="2338"/>
    <n v="166"/>
    <n v="19"/>
    <n v="2185"/>
    <n v="992"/>
    <d v="2025-01-15T00:00:00"/>
    <n v="7.1000855431993151E-2"/>
    <n v="0.1144578313253012"/>
    <n v="1.2026209677419355"/>
  </r>
  <r>
    <n v="264"/>
    <n v="51"/>
    <x v="1"/>
    <x v="5"/>
    <s v="CMP103"/>
    <x v="4"/>
    <n v="4919"/>
    <n v="326"/>
    <n v="17"/>
    <n v="1666"/>
    <n v="669"/>
    <d v="2025-04-22T00:00:00"/>
    <n v="6.6273632852205736E-2"/>
    <n v="5.2147239263803678E-2"/>
    <n v="1.4902840059790732"/>
  </r>
  <r>
    <n v="265"/>
    <n v="45"/>
    <x v="1"/>
    <x v="1"/>
    <s v="CMP102"/>
    <x v="4"/>
    <n v="872"/>
    <n v="101"/>
    <n v="31"/>
    <n v="5890"/>
    <n v="1892"/>
    <d v="2025-01-08T00:00:00"/>
    <n v="0.11582568807339449"/>
    <n v="0.30693069306930693"/>
    <n v="2.1131078224101478"/>
  </r>
  <r>
    <n v="266"/>
    <n v="30"/>
    <x v="0"/>
    <x v="3"/>
    <s v="CMP103"/>
    <x v="4"/>
    <n v="605"/>
    <n v="469"/>
    <n v="34"/>
    <n v="2754"/>
    <n v="1881"/>
    <d v="2025-03-31T00:00:00"/>
    <n v="0.77520661157024795"/>
    <n v="7.2494669509594878E-2"/>
    <n v="0.46411483253588515"/>
  </r>
  <r>
    <n v="267"/>
    <n v="27"/>
    <x v="0"/>
    <x v="2"/>
    <s v="CMP106"/>
    <x v="2"/>
    <n v="3916"/>
    <n v="399"/>
    <n v="79"/>
    <n v="13746"/>
    <n v="1486"/>
    <d v="2025-01-13T00:00:00"/>
    <n v="0.1018896833503575"/>
    <n v="0.19799498746867167"/>
    <n v="8.2503364737550466"/>
  </r>
  <r>
    <n v="268"/>
    <n v="53"/>
    <x v="1"/>
    <x v="1"/>
    <s v="CMP103"/>
    <x v="1"/>
    <n v="4154"/>
    <n v="496"/>
    <n v="60"/>
    <n v="7260"/>
    <n v="1464"/>
    <d v="2025-03-09T00:00:00"/>
    <n v="0.11940298507462686"/>
    <n v="0.12096774193548387"/>
    <n v="3.959016393442623"/>
  </r>
  <r>
    <n v="269"/>
    <n v="30"/>
    <x v="1"/>
    <x v="2"/>
    <s v="CMP106"/>
    <x v="1"/>
    <n v="4457"/>
    <n v="312"/>
    <n v="58"/>
    <n v="7134"/>
    <n v="1608"/>
    <d v="2025-01-22T00:00:00"/>
    <n v="7.0002243661655819E-2"/>
    <n v="0.1858974358974359"/>
    <n v="3.4365671641791047"/>
  </r>
  <r>
    <n v="270"/>
    <n v="32"/>
    <x v="0"/>
    <x v="5"/>
    <s v="CMP109"/>
    <x v="3"/>
    <n v="1800"/>
    <n v="263"/>
    <n v="13"/>
    <n v="1144"/>
    <n v="1249"/>
    <d v="2025-03-29T00:00:00"/>
    <n v="0.14611111111111111"/>
    <n v="4.9429657794676805E-2"/>
    <n v="-8.4067253803042433E-2"/>
  </r>
  <r>
    <n v="271"/>
    <n v="33"/>
    <x v="1"/>
    <x v="2"/>
    <s v="CMP100"/>
    <x v="3"/>
    <n v="2925"/>
    <n v="170"/>
    <n v="46"/>
    <n v="4738"/>
    <n v="783"/>
    <d v="2025-01-26T00:00:00"/>
    <n v="5.8119658119658121E-2"/>
    <n v="0.27058823529411763"/>
    <n v="5.0510855683269478"/>
  </r>
  <r>
    <n v="272"/>
    <n v="53"/>
    <x v="0"/>
    <x v="2"/>
    <s v="CMP106"/>
    <x v="3"/>
    <n v="1816"/>
    <n v="117"/>
    <n v="54"/>
    <n v="5292"/>
    <n v="863"/>
    <d v="2025-03-15T00:00:00"/>
    <n v="6.4427312775330398E-2"/>
    <n v="0.46153846153846156"/>
    <n v="5.1320973348783312"/>
  </r>
  <r>
    <n v="273"/>
    <n v="22"/>
    <x v="0"/>
    <x v="4"/>
    <s v="CMP100"/>
    <x v="4"/>
    <n v="645"/>
    <n v="452"/>
    <n v="40"/>
    <n v="5360"/>
    <n v="1192"/>
    <d v="2025-04-09T00:00:00"/>
    <n v="0.70077519379844966"/>
    <n v="8.8495575221238937E-2"/>
    <n v="3.4966442953020134"/>
  </r>
  <r>
    <n v="274"/>
    <n v="34"/>
    <x v="0"/>
    <x v="0"/>
    <s v="CMP105"/>
    <x v="2"/>
    <n v="3679"/>
    <n v="275"/>
    <n v="37"/>
    <n v="3700"/>
    <n v="830"/>
    <d v="2025-02-17T00:00:00"/>
    <n v="7.4748572981788525E-2"/>
    <n v="0.13454545454545455"/>
    <n v="3.4578313253012047"/>
  </r>
  <r>
    <n v="275"/>
    <n v="49"/>
    <x v="1"/>
    <x v="2"/>
    <s v="CMP109"/>
    <x v="1"/>
    <n v="3352"/>
    <n v="192"/>
    <n v="39"/>
    <n v="5850"/>
    <n v="1187"/>
    <d v="2025-03-14T00:00:00"/>
    <n v="5.7279236276849645E-2"/>
    <n v="0.203125"/>
    <n v="3.9283909014321821"/>
  </r>
  <r>
    <n v="276"/>
    <n v="19"/>
    <x v="0"/>
    <x v="0"/>
    <s v="CMP102"/>
    <x v="2"/>
    <n v="3137"/>
    <n v="126"/>
    <n v="61"/>
    <n v="6344"/>
    <n v="1477"/>
    <d v="2025-01-07T00:00:00"/>
    <n v="4.0165763468281795E-2"/>
    <n v="0.48412698412698413"/>
    <n v="3.2951929587000679"/>
  </r>
  <r>
    <n v="277"/>
    <n v="28"/>
    <x v="1"/>
    <x v="4"/>
    <s v="CMP106"/>
    <x v="3"/>
    <n v="4229"/>
    <n v="372"/>
    <n v="46"/>
    <n v="5428"/>
    <n v="1597"/>
    <d v="2025-01-24T00:00:00"/>
    <n v="8.7964057696855044E-2"/>
    <n v="0.12365591397849462"/>
    <n v="2.3988728866624922"/>
  </r>
  <r>
    <n v="278"/>
    <n v="49"/>
    <x v="1"/>
    <x v="1"/>
    <s v="CMP106"/>
    <x v="4"/>
    <n v="2849"/>
    <n v="68"/>
    <n v="72"/>
    <n v="13032"/>
    <n v="1441"/>
    <d v="2025-04-19T00:00:00"/>
    <n v="2.3868023868023867E-2"/>
    <n v="1.0588235294117647"/>
    <n v="8.0437196391394856"/>
  </r>
  <r>
    <n v="279"/>
    <n v="50"/>
    <x v="0"/>
    <x v="4"/>
    <s v="CMP105"/>
    <x v="0"/>
    <n v="4631"/>
    <n v="281"/>
    <n v="40"/>
    <n v="3480"/>
    <n v="272"/>
    <d v="2025-02-10T00:00:00"/>
    <n v="6.0678039300367088E-2"/>
    <n v="0.14234875444839859"/>
    <n v="11.794117647058824"/>
  </r>
  <r>
    <n v="280"/>
    <n v="19"/>
    <x v="0"/>
    <x v="5"/>
    <s v="CMP104"/>
    <x v="4"/>
    <n v="3546"/>
    <n v="245"/>
    <n v="17"/>
    <n v="2363"/>
    <n v="760"/>
    <d v="2025-02-13T00:00:00"/>
    <n v="6.9091934574168082E-2"/>
    <n v="6.9387755102040816E-2"/>
    <n v="2.1092105263157896"/>
  </r>
  <r>
    <n v="281"/>
    <n v="25"/>
    <x v="0"/>
    <x v="2"/>
    <s v="CMP101"/>
    <x v="4"/>
    <n v="4110"/>
    <n v="209"/>
    <n v="25"/>
    <n v="4525"/>
    <n v="975"/>
    <d v="2025-03-08T00:00:00"/>
    <n v="5.0851581508515813E-2"/>
    <n v="0.11961722488038277"/>
    <n v="3.641025641025641"/>
  </r>
  <r>
    <n v="282"/>
    <n v="23"/>
    <x v="0"/>
    <x v="1"/>
    <s v="CMP101"/>
    <x v="3"/>
    <n v="3561"/>
    <n v="349"/>
    <n v="62"/>
    <n v="10230"/>
    <n v="1482"/>
    <d v="2025-03-28T00:00:00"/>
    <n v="9.8006178039876435E-2"/>
    <n v="0.17765042979942694"/>
    <n v="5.902834008097166"/>
  </r>
  <r>
    <n v="283"/>
    <n v="47"/>
    <x v="0"/>
    <x v="2"/>
    <s v="CMP103"/>
    <x v="2"/>
    <n v="3317"/>
    <n v="151"/>
    <n v="39"/>
    <n v="6474"/>
    <n v="553"/>
    <d v="2025-01-08T00:00:00"/>
    <n v="4.5523063008742842E-2"/>
    <n v="0.25827814569536423"/>
    <n v="10.707052441229656"/>
  </r>
  <r>
    <n v="284"/>
    <n v="30"/>
    <x v="0"/>
    <x v="2"/>
    <s v="CMP108"/>
    <x v="4"/>
    <n v="1161"/>
    <n v="349"/>
    <n v="62"/>
    <n v="9176"/>
    <n v="1771"/>
    <d v="2025-02-24T00:00:00"/>
    <n v="0.30060292850990528"/>
    <n v="0.17765042979942694"/>
    <n v="4.1812535290796164"/>
  </r>
  <r>
    <n v="285"/>
    <n v="33"/>
    <x v="0"/>
    <x v="0"/>
    <s v="CMP100"/>
    <x v="2"/>
    <n v="707"/>
    <n v="155"/>
    <n v="66"/>
    <n v="8844"/>
    <n v="869"/>
    <d v="2025-01-16T00:00:00"/>
    <n v="0.21923620933521923"/>
    <n v="0.4258064516129032"/>
    <n v="9.1772151898734169"/>
  </r>
  <r>
    <n v="286"/>
    <n v="40"/>
    <x v="1"/>
    <x v="0"/>
    <s v="CMP102"/>
    <x v="3"/>
    <n v="2431"/>
    <n v="185"/>
    <n v="7"/>
    <n v="763"/>
    <n v="1879"/>
    <d v="2025-04-14T00:00:00"/>
    <n v="7.6100370218017271E-2"/>
    <n v="3.783783783783784E-2"/>
    <n v="-0.59393294305481636"/>
  </r>
  <r>
    <n v="287"/>
    <n v="38"/>
    <x v="0"/>
    <x v="2"/>
    <s v="CMP103"/>
    <x v="3"/>
    <n v="2040"/>
    <n v="409"/>
    <n v="69"/>
    <n v="7521"/>
    <n v="1856"/>
    <d v="2025-03-11T00:00:00"/>
    <n v="0.20049019607843138"/>
    <n v="0.1687041564792176"/>
    <n v="3.0522629310344827"/>
  </r>
  <r>
    <n v="288"/>
    <n v="29"/>
    <x v="0"/>
    <x v="5"/>
    <s v="CMP105"/>
    <x v="3"/>
    <n v="2266"/>
    <n v="337"/>
    <n v="37"/>
    <n v="3515"/>
    <n v="1212"/>
    <d v="2025-04-26T00:00:00"/>
    <n v="0.14872021182700795"/>
    <n v="0.10979228486646884"/>
    <n v="1.9001650165016502"/>
  </r>
  <r>
    <n v="289"/>
    <n v="19"/>
    <x v="1"/>
    <x v="5"/>
    <s v="CMP108"/>
    <x v="3"/>
    <n v="3285"/>
    <n v="191"/>
    <n v="40"/>
    <n v="4080"/>
    <n v="680"/>
    <d v="2025-03-26T00:00:00"/>
    <n v="5.8143074581430747E-2"/>
    <n v="0.20942408376963351"/>
    <n v="5"/>
  </r>
  <r>
    <n v="290"/>
    <n v="20"/>
    <x v="1"/>
    <x v="1"/>
    <s v="CMP103"/>
    <x v="2"/>
    <n v="3317"/>
    <n v="298"/>
    <n v="77"/>
    <n v="11858"/>
    <n v="648"/>
    <d v="2025-03-03T00:00:00"/>
    <n v="8.9840217063611699E-2"/>
    <n v="0.25838926174496646"/>
    <n v="17.299382716049383"/>
  </r>
  <r>
    <n v="291"/>
    <n v="39"/>
    <x v="1"/>
    <x v="5"/>
    <s v="CMP105"/>
    <x v="4"/>
    <n v="2189"/>
    <n v="245"/>
    <n v="59"/>
    <n v="6726"/>
    <n v="461"/>
    <d v="2025-03-01T00:00:00"/>
    <n v="0.11192325262677022"/>
    <n v="0.24081632653061225"/>
    <n v="13.59002169197397"/>
  </r>
  <r>
    <n v="292"/>
    <n v="35"/>
    <x v="1"/>
    <x v="3"/>
    <s v="CMP102"/>
    <x v="4"/>
    <n v="743"/>
    <n v="61"/>
    <n v="53"/>
    <n v="6201"/>
    <n v="241"/>
    <d v="2025-01-30T00:00:00"/>
    <n v="8.2099596231493946E-2"/>
    <n v="0.86885245901639341"/>
    <n v="24.730290456431536"/>
  </r>
  <r>
    <n v="293"/>
    <n v="24"/>
    <x v="1"/>
    <x v="1"/>
    <s v="CMP103"/>
    <x v="0"/>
    <n v="3787"/>
    <n v="207"/>
    <n v="10"/>
    <n v="1590"/>
    <n v="1290"/>
    <d v="2025-01-14T00:00:00"/>
    <n v="5.4660681278056511E-2"/>
    <n v="4.8309178743961352E-2"/>
    <n v="0.23255813953488372"/>
  </r>
  <r>
    <n v="294"/>
    <n v="44"/>
    <x v="0"/>
    <x v="5"/>
    <s v="CMP101"/>
    <x v="1"/>
    <n v="572"/>
    <n v="448"/>
    <n v="25"/>
    <n v="3625"/>
    <n v="1898"/>
    <d v="2025-02-04T00:00:00"/>
    <n v="0.78321678321678323"/>
    <n v="5.5803571428571432E-2"/>
    <n v="0.90990516332982085"/>
  </r>
  <r>
    <n v="295"/>
    <n v="50"/>
    <x v="0"/>
    <x v="2"/>
    <s v="CMP103"/>
    <x v="2"/>
    <n v="4861"/>
    <n v="74"/>
    <n v="70"/>
    <n v="9310"/>
    <n v="992"/>
    <d v="2025-04-05T00:00:00"/>
    <n v="1.52232051018309E-2"/>
    <n v="0.94594594594594594"/>
    <n v="8.38508064516129"/>
  </r>
  <r>
    <n v="296"/>
    <n v="20"/>
    <x v="0"/>
    <x v="0"/>
    <s v="CMP102"/>
    <x v="1"/>
    <n v="1633"/>
    <n v="385"/>
    <n v="58"/>
    <n v="7598"/>
    <n v="437"/>
    <d v="2025-02-10T00:00:00"/>
    <n v="0.23576240048989588"/>
    <n v="0.15064935064935064"/>
    <n v="16.386727688787186"/>
  </r>
  <r>
    <n v="297"/>
    <n v="21"/>
    <x v="1"/>
    <x v="0"/>
    <s v="CMP108"/>
    <x v="3"/>
    <n v="1548"/>
    <n v="190"/>
    <n v="12"/>
    <n v="2124"/>
    <n v="1116"/>
    <d v="2025-03-20T00:00:00"/>
    <n v="0.1227390180878553"/>
    <n v="6.3157894736842107E-2"/>
    <n v="0.90322580645161288"/>
  </r>
  <r>
    <n v="298"/>
    <n v="37"/>
    <x v="0"/>
    <x v="0"/>
    <s v="CMP101"/>
    <x v="3"/>
    <n v="4723"/>
    <n v="145"/>
    <n v="17"/>
    <n v="2669"/>
    <n v="742"/>
    <d v="2025-04-03T00:00:00"/>
    <n v="3.0700825746347662E-2"/>
    <n v="0.11724137931034483"/>
    <n v="2.5970350404312668"/>
  </r>
  <r>
    <n v="299"/>
    <n v="40"/>
    <x v="1"/>
    <x v="3"/>
    <s v="CMP102"/>
    <x v="0"/>
    <n v="2994"/>
    <n v="439"/>
    <n v="36"/>
    <n v="2916"/>
    <n v="242"/>
    <d v="2025-01-31T00:00:00"/>
    <n v="0.14662658650634602"/>
    <n v="8.2004555808656038E-2"/>
    <n v="11.049586776859504"/>
  </r>
  <r>
    <n v="300"/>
    <n v="48"/>
    <x v="1"/>
    <x v="4"/>
    <s v="CMP107"/>
    <x v="3"/>
    <n v="2453"/>
    <n v="315"/>
    <n v="6"/>
    <n v="540"/>
    <n v="581"/>
    <d v="2025-03-20T00:00:00"/>
    <n v="0.12841418671015084"/>
    <n v="1.9047619047619049E-2"/>
    <n v="-7.0567986230636828E-2"/>
  </r>
  <r>
    <n v="301"/>
    <n v="26"/>
    <x v="0"/>
    <x v="1"/>
    <s v="CMP102"/>
    <x v="3"/>
    <n v="956"/>
    <n v="132"/>
    <n v="13"/>
    <n v="1300"/>
    <n v="1322"/>
    <d v="2025-01-07T00:00:00"/>
    <n v="0.13807531380753138"/>
    <n v="9.8484848484848481E-2"/>
    <n v="-1.6641452344931921E-2"/>
  </r>
  <r>
    <n v="302"/>
    <n v="34"/>
    <x v="0"/>
    <x v="5"/>
    <s v="CMP104"/>
    <x v="3"/>
    <n v="899"/>
    <n v="301"/>
    <n v="8"/>
    <n v="1456"/>
    <n v="1995"/>
    <d v="2025-04-13T00:00:00"/>
    <n v="0.33481646273637372"/>
    <n v="2.6578073089700997E-2"/>
    <n v="-0.27017543859649124"/>
  </r>
  <r>
    <n v="303"/>
    <n v="54"/>
    <x v="1"/>
    <x v="0"/>
    <s v="CMP103"/>
    <x v="3"/>
    <n v="1903"/>
    <n v="357"/>
    <n v="56"/>
    <n v="6552"/>
    <n v="619"/>
    <d v="2025-03-04T00:00:00"/>
    <n v="0.18759852863899107"/>
    <n v="0.15686274509803921"/>
    <n v="9.5848142164781898"/>
  </r>
  <r>
    <n v="304"/>
    <n v="31"/>
    <x v="1"/>
    <x v="2"/>
    <s v="CMP106"/>
    <x v="3"/>
    <n v="1267"/>
    <n v="56"/>
    <n v="31"/>
    <n v="5115"/>
    <n v="291"/>
    <d v="2025-04-11T00:00:00"/>
    <n v="4.4198895027624308E-2"/>
    <n v="0.5535714285714286"/>
    <n v="16.577319587628867"/>
  </r>
  <r>
    <n v="305"/>
    <n v="44"/>
    <x v="0"/>
    <x v="1"/>
    <s v="CMP104"/>
    <x v="0"/>
    <n v="3145"/>
    <n v="182"/>
    <n v="59"/>
    <n v="8319"/>
    <n v="585"/>
    <d v="2025-04-28T00:00:00"/>
    <n v="5.7869634340222575E-2"/>
    <n v="0.32417582417582419"/>
    <n v="13.22051282051282"/>
  </r>
  <r>
    <n v="306"/>
    <n v="18"/>
    <x v="0"/>
    <x v="1"/>
    <s v="CMP104"/>
    <x v="0"/>
    <n v="3208"/>
    <n v="187"/>
    <n v="62"/>
    <n v="5208"/>
    <n v="1646"/>
    <d v="2025-03-31T00:00:00"/>
    <n v="5.8291770573566083E-2"/>
    <n v="0.33155080213903743"/>
    <n v="2.1640340218712031"/>
  </r>
  <r>
    <n v="307"/>
    <n v="49"/>
    <x v="0"/>
    <x v="3"/>
    <s v="CMP103"/>
    <x v="1"/>
    <n v="741"/>
    <n v="262"/>
    <n v="57"/>
    <n v="10260"/>
    <n v="537"/>
    <d v="2025-03-22T00:00:00"/>
    <n v="0.35357624831309042"/>
    <n v="0.21755725190839695"/>
    <n v="18.106145251396647"/>
  </r>
  <r>
    <n v="308"/>
    <n v="43"/>
    <x v="1"/>
    <x v="4"/>
    <s v="CMP103"/>
    <x v="2"/>
    <n v="3542"/>
    <n v="237"/>
    <n v="15"/>
    <n v="1500"/>
    <n v="902"/>
    <d v="2025-02-03T00:00:00"/>
    <n v="6.6911349520045169E-2"/>
    <n v="6.3291139240506333E-2"/>
    <n v="0.66297117516629711"/>
  </r>
  <r>
    <n v="309"/>
    <n v="38"/>
    <x v="0"/>
    <x v="3"/>
    <s v="CMP109"/>
    <x v="1"/>
    <n v="4335"/>
    <n v="131"/>
    <n v="56"/>
    <n v="6776"/>
    <n v="1645"/>
    <d v="2025-01-13T00:00:00"/>
    <n v="3.0219146482122261E-2"/>
    <n v="0.42748091603053434"/>
    <n v="3.1191489361702129"/>
  </r>
  <r>
    <n v="310"/>
    <n v="26"/>
    <x v="1"/>
    <x v="1"/>
    <s v="CMP108"/>
    <x v="4"/>
    <n v="3172"/>
    <n v="154"/>
    <n v="68"/>
    <n v="13532"/>
    <n v="216"/>
    <d v="2025-01-01T00:00:00"/>
    <n v="4.8549810844892814E-2"/>
    <n v="0.44155844155844154"/>
    <n v="61.648148148148145"/>
  </r>
  <r>
    <n v="311"/>
    <n v="38"/>
    <x v="0"/>
    <x v="5"/>
    <s v="CMP106"/>
    <x v="1"/>
    <n v="1071"/>
    <n v="97"/>
    <n v="33"/>
    <n v="2937"/>
    <n v="1320"/>
    <d v="2025-02-03T00:00:00"/>
    <n v="9.0569561157796449E-2"/>
    <n v="0.34020618556701032"/>
    <n v="1.2250000000000001"/>
  </r>
  <r>
    <n v="312"/>
    <n v="34"/>
    <x v="1"/>
    <x v="5"/>
    <s v="CMP106"/>
    <x v="4"/>
    <n v="1275"/>
    <n v="492"/>
    <n v="76"/>
    <n v="12008"/>
    <n v="1144"/>
    <d v="2025-03-29T00:00:00"/>
    <n v="0.38588235294117645"/>
    <n v="0.15447154471544716"/>
    <n v="9.4965034965034967"/>
  </r>
  <r>
    <n v="313"/>
    <n v="18"/>
    <x v="0"/>
    <x v="1"/>
    <s v="CMP102"/>
    <x v="4"/>
    <n v="2648"/>
    <n v="57"/>
    <n v="76"/>
    <n v="12616"/>
    <n v="1728"/>
    <d v="2025-01-24T00:00:00"/>
    <n v="2.1525679758308158E-2"/>
    <n v="1.3333333333333333"/>
    <n v="6.3009259259259256"/>
  </r>
  <r>
    <n v="314"/>
    <n v="48"/>
    <x v="0"/>
    <x v="5"/>
    <s v="CMP103"/>
    <x v="2"/>
    <n v="3211"/>
    <n v="66"/>
    <n v="9"/>
    <n v="900"/>
    <n v="347"/>
    <d v="2025-01-11T00:00:00"/>
    <n v="2.0554344440984116E-2"/>
    <n v="0.13636363636363635"/>
    <n v="1.5936599423631124"/>
  </r>
  <r>
    <n v="315"/>
    <n v="22"/>
    <x v="0"/>
    <x v="2"/>
    <s v="CMP104"/>
    <x v="3"/>
    <n v="4994"/>
    <n v="260"/>
    <n v="11"/>
    <n v="1177"/>
    <n v="698"/>
    <d v="2025-04-04T00:00:00"/>
    <n v="5.2062474969963954E-2"/>
    <n v="4.230769230769231E-2"/>
    <n v="0.68624641833810884"/>
  </r>
  <r>
    <n v="316"/>
    <n v="49"/>
    <x v="1"/>
    <x v="4"/>
    <s v="CMP100"/>
    <x v="4"/>
    <n v="2537"/>
    <n v="401"/>
    <n v="12"/>
    <n v="1068"/>
    <n v="1543"/>
    <d v="2025-04-05T00:00:00"/>
    <n v="0.15806070161608199"/>
    <n v="2.9925187032418952E-2"/>
    <n v="-0.30784186649384315"/>
  </r>
  <r>
    <n v="317"/>
    <n v="32"/>
    <x v="1"/>
    <x v="5"/>
    <s v="CMP101"/>
    <x v="4"/>
    <n v="4219"/>
    <n v="305"/>
    <n v="29"/>
    <n v="4205"/>
    <n v="528"/>
    <d v="2025-03-08T00:00:00"/>
    <n v="7.229201232519554E-2"/>
    <n v="9.5081967213114751E-2"/>
    <n v="6.9640151515151514"/>
  </r>
  <r>
    <n v="318"/>
    <n v="42"/>
    <x v="0"/>
    <x v="1"/>
    <s v="CMP109"/>
    <x v="1"/>
    <n v="4132"/>
    <n v="341"/>
    <n v="72"/>
    <n v="13248"/>
    <n v="1813"/>
    <d v="2025-04-29T00:00:00"/>
    <n v="8.252662149080349E-2"/>
    <n v="0.21114369501466276"/>
    <n v="6.3072255929398784"/>
  </r>
  <r>
    <n v="319"/>
    <n v="29"/>
    <x v="0"/>
    <x v="2"/>
    <s v="CMP107"/>
    <x v="1"/>
    <n v="4785"/>
    <n v="304"/>
    <n v="14"/>
    <n v="1610"/>
    <n v="348"/>
    <d v="2025-01-02T00:00:00"/>
    <n v="6.3531870428422149E-2"/>
    <n v="4.6052631578947366E-2"/>
    <n v="3.6264367816091956"/>
  </r>
  <r>
    <n v="320"/>
    <n v="33"/>
    <x v="1"/>
    <x v="4"/>
    <s v="CMP101"/>
    <x v="3"/>
    <n v="2921"/>
    <n v="318"/>
    <n v="57"/>
    <n v="9918"/>
    <n v="359"/>
    <d v="2025-01-11T00:00:00"/>
    <n v="0.10886682642930504"/>
    <n v="0.17924528301886791"/>
    <n v="26.626740947075209"/>
  </r>
  <r>
    <n v="321"/>
    <n v="26"/>
    <x v="0"/>
    <x v="5"/>
    <s v="CMP108"/>
    <x v="2"/>
    <n v="1021"/>
    <n v="320"/>
    <n v="21"/>
    <n v="2037"/>
    <n v="1135"/>
    <d v="2025-04-14T00:00:00"/>
    <n v="0.31341821743388837"/>
    <n v="6.5625000000000003E-2"/>
    <n v="0.79471365638766522"/>
  </r>
  <r>
    <n v="322"/>
    <n v="49"/>
    <x v="1"/>
    <x v="5"/>
    <s v="CMP102"/>
    <x v="3"/>
    <n v="4197"/>
    <n v="327"/>
    <n v="34"/>
    <n v="4182"/>
    <n v="1948"/>
    <d v="2025-02-15T00:00:00"/>
    <n v="7.7912794853466763E-2"/>
    <n v="0.10397553516819572"/>
    <n v="1.146817248459959"/>
  </r>
  <r>
    <n v="323"/>
    <n v="47"/>
    <x v="0"/>
    <x v="2"/>
    <s v="CMP106"/>
    <x v="1"/>
    <n v="2660"/>
    <n v="425"/>
    <n v="25"/>
    <n v="2775"/>
    <n v="321"/>
    <d v="2025-02-08T00:00:00"/>
    <n v="0.15977443609022557"/>
    <n v="5.8823529411764705E-2"/>
    <n v="7.6448598130841123"/>
  </r>
  <r>
    <n v="324"/>
    <n v="30"/>
    <x v="1"/>
    <x v="4"/>
    <s v="CMP104"/>
    <x v="2"/>
    <n v="3044"/>
    <n v="317"/>
    <n v="51"/>
    <n v="5100"/>
    <n v="1753"/>
    <d v="2025-01-08T00:00:00"/>
    <n v="0.10413929040735874"/>
    <n v="0.16088328075709779"/>
    <n v="1.9092983456930976"/>
  </r>
  <r>
    <n v="325"/>
    <n v="49"/>
    <x v="0"/>
    <x v="5"/>
    <s v="CMP105"/>
    <x v="2"/>
    <n v="801"/>
    <n v="409"/>
    <n v="11"/>
    <n v="2057"/>
    <n v="862"/>
    <d v="2025-01-22T00:00:00"/>
    <n v="0.51061173533083648"/>
    <n v="2.6894865525672371E-2"/>
    <n v="1.3863109048723898"/>
  </r>
  <r>
    <n v="326"/>
    <n v="30"/>
    <x v="1"/>
    <x v="3"/>
    <s v="CMP101"/>
    <x v="2"/>
    <n v="4830"/>
    <n v="394"/>
    <n v="26"/>
    <n v="2808"/>
    <n v="1059"/>
    <d v="2025-01-02T00:00:00"/>
    <n v="8.1573498964803315E-2"/>
    <n v="6.5989847715736044E-2"/>
    <n v="1.6515580736543909"/>
  </r>
  <r>
    <n v="327"/>
    <n v="32"/>
    <x v="1"/>
    <x v="1"/>
    <s v="CMP102"/>
    <x v="3"/>
    <n v="4808"/>
    <n v="485"/>
    <n v="31"/>
    <n v="5394"/>
    <n v="1785"/>
    <d v="2025-01-23T00:00:00"/>
    <n v="0.10087354409317803"/>
    <n v="6.3917525773195871E-2"/>
    <n v="2.0218487394957982"/>
  </r>
  <r>
    <n v="328"/>
    <n v="50"/>
    <x v="1"/>
    <x v="5"/>
    <s v="CMP107"/>
    <x v="4"/>
    <n v="4683"/>
    <n v="93"/>
    <n v="26"/>
    <n v="3016"/>
    <n v="1906"/>
    <d v="2025-01-03T00:00:00"/>
    <n v="1.9859064702114029E-2"/>
    <n v="0.27956989247311825"/>
    <n v="0.58237145855194128"/>
  </r>
  <r>
    <n v="329"/>
    <n v="47"/>
    <x v="0"/>
    <x v="5"/>
    <s v="CMP106"/>
    <x v="2"/>
    <n v="1202"/>
    <n v="167"/>
    <n v="23"/>
    <n v="2484"/>
    <n v="222"/>
    <d v="2025-04-18T00:00:00"/>
    <n v="0.13893510815307819"/>
    <n v="0.1377245508982036"/>
    <n v="10.189189189189189"/>
  </r>
  <r>
    <n v="330"/>
    <n v="33"/>
    <x v="0"/>
    <x v="4"/>
    <s v="CMP107"/>
    <x v="4"/>
    <n v="1804"/>
    <n v="177"/>
    <n v="12"/>
    <n v="1644"/>
    <n v="561"/>
    <d v="2025-01-01T00:00:00"/>
    <n v="9.8115299334811529E-2"/>
    <n v="6.7796610169491525E-2"/>
    <n v="1.9304812834224598"/>
  </r>
  <r>
    <n v="331"/>
    <n v="49"/>
    <x v="1"/>
    <x v="3"/>
    <s v="CMP109"/>
    <x v="4"/>
    <n v="1784"/>
    <n v="52"/>
    <n v="69"/>
    <n v="12282"/>
    <n v="1327"/>
    <d v="2025-04-08T00:00:00"/>
    <n v="2.914798206278027E-2"/>
    <n v="1.3269230769230769"/>
    <n v="8.2554634513941227"/>
  </r>
  <r>
    <n v="332"/>
    <n v="44"/>
    <x v="0"/>
    <x v="4"/>
    <s v="CMP101"/>
    <x v="1"/>
    <n v="4062"/>
    <n v="59"/>
    <n v="25"/>
    <n v="4550"/>
    <n v="501"/>
    <d v="2025-02-10T00:00:00"/>
    <n v="1.4524864598719843E-2"/>
    <n v="0.42372881355932202"/>
    <n v="8.0818363273453091"/>
  </r>
  <r>
    <n v="333"/>
    <n v="39"/>
    <x v="1"/>
    <x v="0"/>
    <s v="CMP109"/>
    <x v="2"/>
    <n v="2659"/>
    <n v="62"/>
    <n v="13"/>
    <n v="1495"/>
    <n v="699"/>
    <d v="2025-03-31T00:00:00"/>
    <n v="2.3317036479879653E-2"/>
    <n v="0.20967741935483872"/>
    <n v="1.1387696709585122"/>
  </r>
  <r>
    <n v="334"/>
    <n v="31"/>
    <x v="1"/>
    <x v="3"/>
    <s v="CMP108"/>
    <x v="4"/>
    <n v="813"/>
    <n v="103"/>
    <n v="16"/>
    <n v="2512"/>
    <n v="408"/>
    <d v="2025-02-03T00:00:00"/>
    <n v="0.12669126691266913"/>
    <n v="0.1553398058252427"/>
    <n v="5.1568627450980395"/>
  </r>
  <r>
    <n v="335"/>
    <n v="21"/>
    <x v="1"/>
    <x v="5"/>
    <s v="CMP103"/>
    <x v="2"/>
    <n v="3134"/>
    <n v="449"/>
    <n v="74"/>
    <n v="13320"/>
    <n v="1434"/>
    <d v="2025-01-20T00:00:00"/>
    <n v="0.14326738991703894"/>
    <n v="0.16481069042316257"/>
    <n v="8.2887029288702934"/>
  </r>
  <r>
    <n v="336"/>
    <n v="38"/>
    <x v="1"/>
    <x v="0"/>
    <s v="CMP109"/>
    <x v="4"/>
    <n v="2429"/>
    <n v="73"/>
    <n v="30"/>
    <n v="4920"/>
    <n v="1965"/>
    <d v="2025-02-07T00:00:00"/>
    <n v="3.0053519967064634E-2"/>
    <n v="0.41095890410958902"/>
    <n v="1.5038167938931297"/>
  </r>
  <r>
    <n v="337"/>
    <n v="24"/>
    <x v="1"/>
    <x v="5"/>
    <s v="CMP103"/>
    <x v="4"/>
    <n v="4783"/>
    <n v="106"/>
    <n v="49"/>
    <n v="4704"/>
    <n v="1243"/>
    <d v="2025-04-03T00:00:00"/>
    <n v="2.2161823123562619E-2"/>
    <n v="0.46226415094339623"/>
    <n v="2.7843925985518907"/>
  </r>
  <r>
    <n v="338"/>
    <n v="21"/>
    <x v="1"/>
    <x v="3"/>
    <s v="CMP107"/>
    <x v="1"/>
    <n v="4086"/>
    <n v="265"/>
    <n v="62"/>
    <n v="12090"/>
    <n v="1278"/>
    <d v="2025-01-24T00:00:00"/>
    <n v="6.4855604503181591E-2"/>
    <n v="0.2339622641509434"/>
    <n v="8.4600938967136159"/>
  </r>
  <r>
    <n v="339"/>
    <n v="36"/>
    <x v="1"/>
    <x v="1"/>
    <s v="CMP100"/>
    <x v="0"/>
    <n v="661"/>
    <n v="207"/>
    <n v="23"/>
    <n v="3197"/>
    <n v="358"/>
    <d v="2025-03-04T00:00:00"/>
    <n v="0.31316187594553707"/>
    <n v="0.1111111111111111"/>
    <n v="7.9301675977653634"/>
  </r>
  <r>
    <n v="340"/>
    <n v="48"/>
    <x v="0"/>
    <x v="5"/>
    <s v="CMP103"/>
    <x v="4"/>
    <n v="1163"/>
    <n v="158"/>
    <n v="34"/>
    <n v="6154"/>
    <n v="1537"/>
    <d v="2025-03-05T00:00:00"/>
    <n v="0.1358555460017197"/>
    <n v="0.21518987341772153"/>
    <n v="3.0039037085230968"/>
  </r>
  <r>
    <n v="341"/>
    <n v="50"/>
    <x v="0"/>
    <x v="1"/>
    <s v="CMP101"/>
    <x v="4"/>
    <n v="2566"/>
    <n v="481"/>
    <n v="49"/>
    <n v="8477"/>
    <n v="939"/>
    <d v="2025-03-04T00:00:00"/>
    <n v="0.18745128604832423"/>
    <n v="0.10187110187110188"/>
    <n v="8.0276890308839199"/>
  </r>
  <r>
    <n v="342"/>
    <n v="50"/>
    <x v="0"/>
    <x v="1"/>
    <s v="CMP100"/>
    <x v="4"/>
    <n v="2151"/>
    <n v="162"/>
    <n v="51"/>
    <n v="6936"/>
    <n v="1170"/>
    <d v="2025-03-11T00:00:00"/>
    <n v="7.5313807531380755E-2"/>
    <n v="0.31481481481481483"/>
    <n v="4.9282051282051285"/>
  </r>
  <r>
    <n v="343"/>
    <n v="31"/>
    <x v="0"/>
    <x v="5"/>
    <s v="CMP106"/>
    <x v="3"/>
    <n v="1783"/>
    <n v="197"/>
    <n v="51"/>
    <n v="7599"/>
    <n v="598"/>
    <d v="2025-01-09T00:00:00"/>
    <n v="0.11048794167134043"/>
    <n v="0.25888324873096447"/>
    <n v="11.707357859531772"/>
  </r>
  <r>
    <n v="344"/>
    <n v="20"/>
    <x v="0"/>
    <x v="4"/>
    <s v="CMP100"/>
    <x v="0"/>
    <n v="3971"/>
    <n v="374"/>
    <n v="65"/>
    <n v="8385"/>
    <n v="337"/>
    <d v="2025-04-04T00:00:00"/>
    <n v="9.4182825484764546E-2"/>
    <n v="0.17379679144385027"/>
    <n v="23.881305637982194"/>
  </r>
  <r>
    <n v="345"/>
    <n v="52"/>
    <x v="1"/>
    <x v="3"/>
    <s v="CMP109"/>
    <x v="2"/>
    <n v="3257"/>
    <n v="386"/>
    <n v="55"/>
    <n v="5390"/>
    <n v="956"/>
    <d v="2025-04-25T00:00:00"/>
    <n v="0.11851396991096101"/>
    <n v="0.14248704663212436"/>
    <n v="4.6380753138075317"/>
  </r>
  <r>
    <n v="346"/>
    <n v="22"/>
    <x v="1"/>
    <x v="1"/>
    <s v="CMP103"/>
    <x v="1"/>
    <n v="2503"/>
    <n v="98"/>
    <n v="25"/>
    <n v="3575"/>
    <n v="1297"/>
    <d v="2025-03-11T00:00:00"/>
    <n v="3.9153016380343589E-2"/>
    <n v="0.25510204081632654"/>
    <n v="1.7563608326908249"/>
  </r>
  <r>
    <n v="347"/>
    <n v="18"/>
    <x v="0"/>
    <x v="4"/>
    <s v="CMP107"/>
    <x v="1"/>
    <n v="2125"/>
    <n v="309"/>
    <n v="43"/>
    <n v="4902"/>
    <n v="1209"/>
    <d v="2025-02-26T00:00:00"/>
    <n v="0.14541176470588235"/>
    <n v="0.13915857605177995"/>
    <n v="3.0545905707196028"/>
  </r>
  <r>
    <n v="348"/>
    <n v="48"/>
    <x v="1"/>
    <x v="3"/>
    <s v="CMP103"/>
    <x v="1"/>
    <n v="3159"/>
    <n v="375"/>
    <n v="45"/>
    <n v="5625"/>
    <n v="1405"/>
    <d v="2025-01-24T00:00:00"/>
    <n v="0.11870845204178537"/>
    <n v="0.12"/>
    <n v="3.0035587188612101"/>
  </r>
  <r>
    <n v="349"/>
    <n v="24"/>
    <x v="0"/>
    <x v="5"/>
    <s v="CMP102"/>
    <x v="1"/>
    <n v="1931"/>
    <n v="413"/>
    <n v="34"/>
    <n v="5814"/>
    <n v="1565"/>
    <d v="2025-02-24T00:00:00"/>
    <n v="0.21387881926462973"/>
    <n v="8.2324455205811137E-2"/>
    <n v="2.7150159744408944"/>
  </r>
  <r>
    <n v="350"/>
    <n v="48"/>
    <x v="1"/>
    <x v="4"/>
    <s v="CMP109"/>
    <x v="3"/>
    <n v="3791"/>
    <n v="319"/>
    <n v="14"/>
    <n v="1862"/>
    <n v="1623"/>
    <d v="2025-03-30T00:00:00"/>
    <n v="8.414666314956476E-2"/>
    <n v="4.3887147335423198E-2"/>
    <n v="0.14725816389402341"/>
  </r>
  <r>
    <n v="351"/>
    <n v="53"/>
    <x v="0"/>
    <x v="3"/>
    <s v="CMP107"/>
    <x v="3"/>
    <n v="704"/>
    <n v="119"/>
    <n v="48"/>
    <n v="5952"/>
    <n v="1040"/>
    <d v="2025-04-17T00:00:00"/>
    <n v="0.16903409090909091"/>
    <n v="0.40336134453781514"/>
    <n v="4.7230769230769232"/>
  </r>
  <r>
    <n v="352"/>
    <n v="50"/>
    <x v="1"/>
    <x v="4"/>
    <s v="CMP106"/>
    <x v="0"/>
    <n v="3143"/>
    <n v="387"/>
    <n v="61"/>
    <n v="8967"/>
    <n v="1756"/>
    <d v="2025-03-11T00:00:00"/>
    <n v="0.12313076678332803"/>
    <n v="0.15762273901808785"/>
    <n v="4.106492027334852"/>
  </r>
  <r>
    <n v="353"/>
    <n v="32"/>
    <x v="0"/>
    <x v="4"/>
    <s v="CMP106"/>
    <x v="3"/>
    <n v="1922"/>
    <n v="209"/>
    <n v="79"/>
    <n v="13193"/>
    <n v="1371"/>
    <d v="2025-01-21T00:00:00"/>
    <n v="0.10874089490114464"/>
    <n v="0.37799043062200954"/>
    <n v="8.6229029905178702"/>
  </r>
  <r>
    <n v="354"/>
    <n v="38"/>
    <x v="1"/>
    <x v="2"/>
    <s v="CMP101"/>
    <x v="1"/>
    <n v="1949"/>
    <n v="203"/>
    <n v="18"/>
    <n v="2088"/>
    <n v="1536"/>
    <d v="2025-03-10T00:00:00"/>
    <n v="0.10415597742432016"/>
    <n v="8.8669950738916259E-2"/>
    <n v="0.359375"/>
  </r>
  <r>
    <n v="355"/>
    <n v="36"/>
    <x v="0"/>
    <x v="3"/>
    <s v="CMP102"/>
    <x v="4"/>
    <n v="4170"/>
    <n v="267"/>
    <n v="41"/>
    <n v="5248"/>
    <n v="1183"/>
    <d v="2025-03-30T00:00:00"/>
    <n v="6.4028776978417259E-2"/>
    <n v="0.15355805243445692"/>
    <n v="3.4361792054099745"/>
  </r>
  <r>
    <n v="356"/>
    <n v="21"/>
    <x v="1"/>
    <x v="4"/>
    <s v="CMP109"/>
    <x v="0"/>
    <n v="4979"/>
    <n v="445"/>
    <n v="65"/>
    <n v="7280"/>
    <n v="624"/>
    <d v="2025-03-12T00:00:00"/>
    <n v="8.9375376581642907E-2"/>
    <n v="0.14606741573033707"/>
    <n v="10.666666666666666"/>
  </r>
  <r>
    <n v="357"/>
    <n v="51"/>
    <x v="0"/>
    <x v="5"/>
    <s v="CMP109"/>
    <x v="2"/>
    <n v="1097"/>
    <n v="338"/>
    <n v="28"/>
    <n v="3920"/>
    <n v="1796"/>
    <d v="2025-02-12T00:00:00"/>
    <n v="0.3081130355515041"/>
    <n v="8.2840236686390539E-2"/>
    <n v="1.1826280623608019"/>
  </r>
  <r>
    <n v="358"/>
    <n v="23"/>
    <x v="1"/>
    <x v="5"/>
    <s v="CMP101"/>
    <x v="1"/>
    <n v="4169"/>
    <n v="226"/>
    <n v="21"/>
    <n v="3129"/>
    <n v="1833"/>
    <d v="2025-03-06T00:00:00"/>
    <n v="5.4209642600143916E-2"/>
    <n v="9.2920353982300891E-2"/>
    <n v="0.707037643207856"/>
  </r>
  <r>
    <n v="359"/>
    <n v="19"/>
    <x v="0"/>
    <x v="5"/>
    <s v="CMP109"/>
    <x v="0"/>
    <n v="4088"/>
    <n v="51"/>
    <n v="26"/>
    <n v="3536"/>
    <n v="1335"/>
    <d v="2025-04-08T00:00:00"/>
    <n v="1.2475538160469667E-2"/>
    <n v="0.50980392156862742"/>
    <n v="1.648689138576779"/>
  </r>
  <r>
    <n v="360"/>
    <n v="39"/>
    <x v="0"/>
    <x v="1"/>
    <s v="CMP107"/>
    <x v="3"/>
    <n v="3715"/>
    <n v="417"/>
    <n v="55"/>
    <n v="6490"/>
    <n v="836"/>
    <d v="2025-04-21T00:00:00"/>
    <n v="0.11224764468371468"/>
    <n v="0.13189448441247004"/>
    <n v="6.7631578947368425"/>
  </r>
  <r>
    <n v="361"/>
    <n v="49"/>
    <x v="1"/>
    <x v="3"/>
    <s v="CMP106"/>
    <x v="4"/>
    <n v="1110"/>
    <n v="241"/>
    <n v="67"/>
    <n v="9581"/>
    <n v="760"/>
    <d v="2025-01-21T00:00:00"/>
    <n v="0.21711711711711712"/>
    <n v="0.27800829875518673"/>
    <n v="11.606578947368421"/>
  </r>
  <r>
    <n v="362"/>
    <n v="32"/>
    <x v="0"/>
    <x v="5"/>
    <s v="CMP107"/>
    <x v="0"/>
    <n v="1677"/>
    <n v="432"/>
    <n v="72"/>
    <n v="11880"/>
    <n v="1083"/>
    <d v="2025-04-14T00:00:00"/>
    <n v="0.25760286225402507"/>
    <n v="0.16666666666666666"/>
    <n v="9.9695290858725762"/>
  </r>
  <r>
    <n v="363"/>
    <n v="45"/>
    <x v="1"/>
    <x v="0"/>
    <s v="CMP109"/>
    <x v="4"/>
    <n v="2249"/>
    <n v="165"/>
    <n v="18"/>
    <n v="3312"/>
    <n v="1604"/>
    <d v="2025-04-23T00:00:00"/>
    <n v="7.3365940417963543E-2"/>
    <n v="0.10909090909090909"/>
    <n v="1.0648379052369077"/>
  </r>
  <r>
    <n v="364"/>
    <n v="52"/>
    <x v="1"/>
    <x v="4"/>
    <s v="CMP105"/>
    <x v="2"/>
    <n v="2613"/>
    <n v="458"/>
    <n v="7"/>
    <n v="1232"/>
    <n v="1267"/>
    <d v="2025-02-08T00:00:00"/>
    <n v="0.1752774588595484"/>
    <n v="1.5283842794759825E-2"/>
    <n v="-2.7624309392265192E-2"/>
  </r>
  <r>
    <n v="365"/>
    <n v="22"/>
    <x v="1"/>
    <x v="4"/>
    <s v="CMP102"/>
    <x v="2"/>
    <n v="2314"/>
    <n v="138"/>
    <n v="54"/>
    <n v="5292"/>
    <n v="1650"/>
    <d v="2025-01-11T00:00:00"/>
    <n v="5.9636992221261884E-2"/>
    <n v="0.39130434782608697"/>
    <n v="2.2072727272727271"/>
  </r>
  <r>
    <n v="366"/>
    <n v="45"/>
    <x v="1"/>
    <x v="5"/>
    <s v="CMP108"/>
    <x v="1"/>
    <n v="3051"/>
    <n v="317"/>
    <n v="78"/>
    <n v="8034"/>
    <n v="207"/>
    <d v="2025-02-05T00:00:00"/>
    <n v="0.10390036053752869"/>
    <n v="0.24605678233438485"/>
    <n v="37.811594202898547"/>
  </r>
  <r>
    <n v="367"/>
    <n v="32"/>
    <x v="1"/>
    <x v="3"/>
    <s v="CMP107"/>
    <x v="4"/>
    <n v="984"/>
    <n v="134"/>
    <n v="76"/>
    <n v="6688"/>
    <n v="766"/>
    <d v="2025-03-23T00:00:00"/>
    <n v="0.13617886178861788"/>
    <n v="0.56716417910447758"/>
    <n v="7.731070496083551"/>
  </r>
  <r>
    <n v="368"/>
    <n v="20"/>
    <x v="0"/>
    <x v="0"/>
    <s v="CMP102"/>
    <x v="2"/>
    <n v="4025"/>
    <n v="317"/>
    <n v="6"/>
    <n v="954"/>
    <n v="974"/>
    <d v="2025-01-27T00:00:00"/>
    <n v="7.8757763975155284E-2"/>
    <n v="1.8927444794952682E-2"/>
    <n v="-2.0533880903490759E-2"/>
  </r>
  <r>
    <n v="369"/>
    <n v="25"/>
    <x v="0"/>
    <x v="3"/>
    <s v="CMP104"/>
    <x v="3"/>
    <n v="2398"/>
    <n v="89"/>
    <n v="37"/>
    <n v="2960"/>
    <n v="419"/>
    <d v="2025-02-01T00:00:00"/>
    <n v="3.711426188490409E-2"/>
    <n v="0.4157303370786517"/>
    <n v="6.064439140811456"/>
  </r>
  <r>
    <n v="370"/>
    <n v="36"/>
    <x v="0"/>
    <x v="5"/>
    <s v="CMP108"/>
    <x v="3"/>
    <n v="1187"/>
    <n v="156"/>
    <n v="8"/>
    <n v="1192"/>
    <n v="1189"/>
    <d v="2025-01-12T00:00:00"/>
    <n v="0.13142375737152484"/>
    <n v="5.128205128205128E-2"/>
    <n v="2.5231286795626578E-3"/>
  </r>
  <r>
    <n v="371"/>
    <n v="38"/>
    <x v="0"/>
    <x v="0"/>
    <s v="CMP101"/>
    <x v="3"/>
    <n v="4458"/>
    <n v="65"/>
    <n v="5"/>
    <n v="940"/>
    <n v="774"/>
    <d v="2025-01-04T00:00:00"/>
    <n v="1.4580529385374607E-2"/>
    <n v="7.6923076923076927E-2"/>
    <n v="0.2144702842377261"/>
  </r>
  <r>
    <n v="372"/>
    <n v="22"/>
    <x v="1"/>
    <x v="1"/>
    <s v="CMP108"/>
    <x v="4"/>
    <n v="1423"/>
    <n v="151"/>
    <n v="63"/>
    <n v="6678"/>
    <n v="446"/>
    <d v="2025-01-03T00:00:00"/>
    <n v="0.10611384399156711"/>
    <n v="0.41721854304635764"/>
    <n v="13.973094170403588"/>
  </r>
  <r>
    <n v="373"/>
    <n v="22"/>
    <x v="1"/>
    <x v="2"/>
    <s v="CMP102"/>
    <x v="4"/>
    <n v="2900"/>
    <n v="245"/>
    <n v="29"/>
    <n v="3045"/>
    <n v="1129"/>
    <d v="2025-03-02T00:00:00"/>
    <n v="8.4482758620689657E-2"/>
    <n v="0.11836734693877551"/>
    <n v="1.6970770593445528"/>
  </r>
  <r>
    <n v="374"/>
    <n v="28"/>
    <x v="1"/>
    <x v="3"/>
    <s v="CMP101"/>
    <x v="2"/>
    <n v="4047"/>
    <n v="314"/>
    <n v="54"/>
    <n v="8748"/>
    <n v="845"/>
    <d v="2025-02-16T00:00:00"/>
    <n v="7.7588337039782559E-2"/>
    <n v="0.17197452229299362"/>
    <n v="9.3526627218934912"/>
  </r>
  <r>
    <n v="375"/>
    <n v="47"/>
    <x v="1"/>
    <x v="3"/>
    <s v="CMP109"/>
    <x v="1"/>
    <n v="2399"/>
    <n v="262"/>
    <n v="7"/>
    <n v="1197"/>
    <n v="787"/>
    <d v="2025-04-22T00:00:00"/>
    <n v="0.10921217173822426"/>
    <n v="2.6717557251908396E-2"/>
    <n v="0.52096569250317659"/>
  </r>
  <r>
    <n v="376"/>
    <n v="52"/>
    <x v="1"/>
    <x v="1"/>
    <s v="CMP103"/>
    <x v="2"/>
    <n v="3848"/>
    <n v="205"/>
    <n v="66"/>
    <n v="10824"/>
    <n v="1640"/>
    <d v="2025-02-03T00:00:00"/>
    <n v="5.3274428274428277E-2"/>
    <n v="0.32195121951219513"/>
    <n v="5.6"/>
  </r>
  <r>
    <n v="377"/>
    <n v="28"/>
    <x v="1"/>
    <x v="5"/>
    <s v="CMP108"/>
    <x v="2"/>
    <n v="4636"/>
    <n v="356"/>
    <n v="51"/>
    <n v="6987"/>
    <n v="537"/>
    <d v="2025-01-23T00:00:00"/>
    <n v="7.6790336496980152E-2"/>
    <n v="0.14325842696629212"/>
    <n v="12.011173184357542"/>
  </r>
  <r>
    <n v="378"/>
    <n v="28"/>
    <x v="0"/>
    <x v="4"/>
    <s v="CMP102"/>
    <x v="3"/>
    <n v="3747"/>
    <n v="433"/>
    <n v="26"/>
    <n v="3848"/>
    <n v="472"/>
    <d v="2025-02-02T00:00:00"/>
    <n v="0.11555911395783293"/>
    <n v="6.0046189376443418E-2"/>
    <n v="7.1525423728813555"/>
  </r>
  <r>
    <n v="379"/>
    <n v="45"/>
    <x v="0"/>
    <x v="3"/>
    <s v="CMP106"/>
    <x v="3"/>
    <n v="1223"/>
    <n v="430"/>
    <n v="20"/>
    <n v="3560"/>
    <n v="1289"/>
    <d v="2025-03-11T00:00:00"/>
    <n v="0.35159443990188061"/>
    <n v="4.6511627906976744E-2"/>
    <n v="1.7618308766485649"/>
  </r>
  <r>
    <n v="380"/>
    <n v="20"/>
    <x v="1"/>
    <x v="5"/>
    <s v="CMP103"/>
    <x v="1"/>
    <n v="4719"/>
    <n v="50"/>
    <n v="76"/>
    <n v="12616"/>
    <n v="1982"/>
    <d v="2025-02-27T00:00:00"/>
    <n v="1.0595465140919686E-2"/>
    <n v="1.52"/>
    <n v="5.3652875882946516"/>
  </r>
  <r>
    <n v="381"/>
    <n v="31"/>
    <x v="1"/>
    <x v="0"/>
    <s v="CMP103"/>
    <x v="0"/>
    <n v="1836"/>
    <n v="166"/>
    <n v="57"/>
    <n v="11115"/>
    <n v="1525"/>
    <d v="2025-03-17T00:00:00"/>
    <n v="9.0413943355119819E-2"/>
    <n v="0.34337349397590361"/>
    <n v="6.2885245901639344"/>
  </r>
  <r>
    <n v="382"/>
    <n v="40"/>
    <x v="1"/>
    <x v="3"/>
    <s v="CMP101"/>
    <x v="4"/>
    <n v="892"/>
    <n v="404"/>
    <n v="10"/>
    <n v="1700"/>
    <n v="1474"/>
    <d v="2025-04-30T00:00:00"/>
    <n v="0.452914798206278"/>
    <n v="2.4752475247524754E-2"/>
    <n v="0.15332428765264586"/>
  </r>
  <r>
    <n v="383"/>
    <n v="36"/>
    <x v="1"/>
    <x v="2"/>
    <s v="CMP103"/>
    <x v="3"/>
    <n v="3097"/>
    <n v="191"/>
    <n v="76"/>
    <n v="8664"/>
    <n v="901"/>
    <d v="2025-04-23T00:00:00"/>
    <n v="6.1672586373910238E-2"/>
    <n v="0.39790575916230364"/>
    <n v="8.6159822419533842"/>
  </r>
  <r>
    <n v="384"/>
    <n v="40"/>
    <x v="1"/>
    <x v="2"/>
    <s v="CMP105"/>
    <x v="4"/>
    <n v="780"/>
    <n v="473"/>
    <n v="18"/>
    <n v="3258"/>
    <n v="353"/>
    <d v="2025-02-17T00:00:00"/>
    <n v="0.60641025641025637"/>
    <n v="3.8054968287526428E-2"/>
    <n v="8.2294617563739383"/>
  </r>
  <r>
    <n v="385"/>
    <n v="36"/>
    <x v="0"/>
    <x v="0"/>
    <s v="CMP108"/>
    <x v="1"/>
    <n v="4588"/>
    <n v="132"/>
    <n v="55"/>
    <n v="6655"/>
    <n v="1098"/>
    <d v="2025-01-28T00:00:00"/>
    <n v="2.8770706190061029E-2"/>
    <n v="0.41666666666666669"/>
    <n v="5.0610200364298725"/>
  </r>
  <r>
    <n v="386"/>
    <n v="36"/>
    <x v="1"/>
    <x v="0"/>
    <s v="CMP103"/>
    <x v="2"/>
    <n v="2720"/>
    <n v="376"/>
    <n v="67"/>
    <n v="13266"/>
    <n v="1296"/>
    <d v="2025-01-14T00:00:00"/>
    <n v="0.13823529411764707"/>
    <n v="0.17819148936170212"/>
    <n v="9.2361111111111107"/>
  </r>
  <r>
    <n v="387"/>
    <n v="34"/>
    <x v="0"/>
    <x v="1"/>
    <s v="CMP108"/>
    <x v="4"/>
    <n v="1643"/>
    <n v="471"/>
    <n v="57"/>
    <n v="6783"/>
    <n v="875"/>
    <d v="2025-03-05T00:00:00"/>
    <n v="0.2866707242848448"/>
    <n v="0.12101910828025478"/>
    <n v="6.7519999999999998"/>
  </r>
  <r>
    <n v="388"/>
    <n v="52"/>
    <x v="0"/>
    <x v="4"/>
    <s v="CMP108"/>
    <x v="1"/>
    <n v="3947"/>
    <n v="357"/>
    <n v="18"/>
    <n v="2376"/>
    <n v="1426"/>
    <d v="2025-02-28T00:00:00"/>
    <n v="9.0448441854573097E-2"/>
    <n v="5.0420168067226892E-2"/>
    <n v="0.66619915848527345"/>
  </r>
  <r>
    <n v="389"/>
    <n v="45"/>
    <x v="0"/>
    <x v="1"/>
    <s v="CMP107"/>
    <x v="4"/>
    <n v="2881"/>
    <n v="271"/>
    <n v="45"/>
    <n v="6615"/>
    <n v="1931"/>
    <d v="2025-01-02T00:00:00"/>
    <n v="9.4064560916348489E-2"/>
    <n v="0.16605166051660517"/>
    <n v="2.4256861729673744"/>
  </r>
  <r>
    <n v="390"/>
    <n v="47"/>
    <x v="1"/>
    <x v="5"/>
    <s v="CMP102"/>
    <x v="0"/>
    <n v="4508"/>
    <n v="169"/>
    <n v="59"/>
    <n v="10148"/>
    <n v="1239"/>
    <d v="2025-01-11T00:00:00"/>
    <n v="3.7488908606921029E-2"/>
    <n v="0.34911242603550297"/>
    <n v="7.1904761904761907"/>
  </r>
  <r>
    <n v="391"/>
    <n v="37"/>
    <x v="0"/>
    <x v="3"/>
    <s v="CMP104"/>
    <x v="0"/>
    <n v="2085"/>
    <n v="304"/>
    <n v="25"/>
    <n v="3175"/>
    <n v="1548"/>
    <d v="2025-03-08T00:00:00"/>
    <n v="0.14580335731414867"/>
    <n v="8.2236842105263164E-2"/>
    <n v="1.0510335917312661"/>
  </r>
  <r>
    <n v="392"/>
    <n v="34"/>
    <x v="0"/>
    <x v="0"/>
    <s v="CMP101"/>
    <x v="3"/>
    <n v="2544"/>
    <n v="250"/>
    <n v="65"/>
    <n v="7410"/>
    <n v="1547"/>
    <d v="2025-03-29T00:00:00"/>
    <n v="9.8270440251572333E-2"/>
    <n v="0.26"/>
    <n v="3.7899159663865545"/>
  </r>
  <r>
    <n v="393"/>
    <n v="29"/>
    <x v="0"/>
    <x v="1"/>
    <s v="CMP105"/>
    <x v="2"/>
    <n v="3027"/>
    <n v="114"/>
    <n v="12"/>
    <n v="1992"/>
    <n v="1524"/>
    <d v="2025-03-17T00:00:00"/>
    <n v="3.7661050545094152E-2"/>
    <n v="0.10526315789473684"/>
    <n v="0.30708661417322836"/>
  </r>
  <r>
    <n v="394"/>
    <n v="46"/>
    <x v="0"/>
    <x v="0"/>
    <s v="CMP105"/>
    <x v="2"/>
    <n v="1026"/>
    <n v="410"/>
    <n v="23"/>
    <n v="3013"/>
    <n v="225"/>
    <d v="2025-04-14T00:00:00"/>
    <n v="0.39961013645224169"/>
    <n v="5.6097560975609757E-2"/>
    <n v="12.391111111111112"/>
  </r>
  <r>
    <n v="395"/>
    <n v="24"/>
    <x v="1"/>
    <x v="0"/>
    <s v="CMP103"/>
    <x v="2"/>
    <n v="2073"/>
    <n v="325"/>
    <n v="33"/>
    <n v="2739"/>
    <n v="378"/>
    <d v="2025-01-22T00:00:00"/>
    <n v="0.15677761698022191"/>
    <n v="0.10153846153846154"/>
    <n v="6.246031746031746"/>
  </r>
  <r>
    <n v="396"/>
    <n v="18"/>
    <x v="1"/>
    <x v="4"/>
    <s v="CMP107"/>
    <x v="4"/>
    <n v="1078"/>
    <n v="391"/>
    <n v="70"/>
    <n v="11900"/>
    <n v="1385"/>
    <d v="2025-03-28T00:00:00"/>
    <n v="0.36270871985157699"/>
    <n v="0.17902813299232737"/>
    <n v="7.5920577617328524"/>
  </r>
  <r>
    <n v="397"/>
    <n v="29"/>
    <x v="0"/>
    <x v="1"/>
    <s v="CMP105"/>
    <x v="1"/>
    <n v="4505"/>
    <n v="311"/>
    <n v="29"/>
    <n v="2784"/>
    <n v="1945"/>
    <d v="2025-03-31T00:00:00"/>
    <n v="6.9034406215316313E-2"/>
    <n v="9.3247588424437297E-2"/>
    <n v="0.43136246786632393"/>
  </r>
  <r>
    <n v="398"/>
    <n v="52"/>
    <x v="1"/>
    <x v="4"/>
    <s v="CMP107"/>
    <x v="0"/>
    <n v="4878"/>
    <n v="185"/>
    <n v="69"/>
    <n v="11868"/>
    <n v="640"/>
    <d v="2025-01-14T00:00:00"/>
    <n v="3.7925379253792538E-2"/>
    <n v="0.37297297297297299"/>
    <n v="17.543749999999999"/>
  </r>
  <r>
    <n v="399"/>
    <n v="25"/>
    <x v="0"/>
    <x v="2"/>
    <s v="CMP103"/>
    <x v="0"/>
    <n v="1955"/>
    <n v="286"/>
    <n v="60"/>
    <n v="5520"/>
    <n v="1912"/>
    <d v="2025-04-07T00:00:00"/>
    <n v="0.14629156010230179"/>
    <n v="0.20979020979020979"/>
    <n v="1.887029288702929"/>
  </r>
  <r>
    <n v="400"/>
    <n v="26"/>
    <x v="0"/>
    <x v="0"/>
    <s v="CMP107"/>
    <x v="0"/>
    <n v="840"/>
    <n v="294"/>
    <n v="53"/>
    <n v="7473"/>
    <n v="903"/>
    <d v="2025-02-06T00:00:00"/>
    <n v="0.35"/>
    <n v="0.18027210884353742"/>
    <n v="7.2757475083056482"/>
  </r>
  <r>
    <n v="401"/>
    <n v="30"/>
    <x v="0"/>
    <x v="5"/>
    <s v="CMP102"/>
    <x v="1"/>
    <n v="1355"/>
    <n v="326"/>
    <n v="55"/>
    <n v="6490"/>
    <n v="1794"/>
    <d v="2025-01-11T00:00:00"/>
    <n v="0.24059040590405903"/>
    <n v="0.16871165644171779"/>
    <n v="2.617614269788183"/>
  </r>
  <r>
    <n v="402"/>
    <n v="36"/>
    <x v="1"/>
    <x v="3"/>
    <s v="CMP107"/>
    <x v="3"/>
    <n v="1856"/>
    <n v="176"/>
    <n v="50"/>
    <n v="4000"/>
    <n v="1780"/>
    <d v="2025-03-13T00:00:00"/>
    <n v="9.4827586206896547E-2"/>
    <n v="0.28409090909090912"/>
    <n v="1.247191011235955"/>
  </r>
  <r>
    <n v="403"/>
    <n v="50"/>
    <x v="0"/>
    <x v="2"/>
    <s v="CMP109"/>
    <x v="0"/>
    <n v="3504"/>
    <n v="158"/>
    <n v="16"/>
    <n v="3056"/>
    <n v="644"/>
    <d v="2025-04-13T00:00:00"/>
    <n v="4.509132420091324E-2"/>
    <n v="0.10126582278481013"/>
    <n v="3.7453416149068324"/>
  </r>
  <r>
    <n v="404"/>
    <n v="44"/>
    <x v="1"/>
    <x v="4"/>
    <s v="CMP106"/>
    <x v="3"/>
    <n v="1487"/>
    <n v="299"/>
    <n v="73"/>
    <n v="7592"/>
    <n v="719"/>
    <d v="2025-01-30T00:00:00"/>
    <n v="0.20107599193006054"/>
    <n v="0.24414715719063546"/>
    <n v="9.5591098748261469"/>
  </r>
  <r>
    <n v="405"/>
    <n v="35"/>
    <x v="1"/>
    <x v="1"/>
    <s v="CMP101"/>
    <x v="2"/>
    <n v="3552"/>
    <n v="480"/>
    <n v="53"/>
    <n v="8639"/>
    <n v="1910"/>
    <d v="2025-03-07T00:00:00"/>
    <n v="0.13513513513513514"/>
    <n v="0.11041666666666666"/>
    <n v="3.5230366492146596"/>
  </r>
  <r>
    <n v="406"/>
    <n v="36"/>
    <x v="0"/>
    <x v="3"/>
    <s v="CMP107"/>
    <x v="1"/>
    <n v="1489"/>
    <n v="210"/>
    <n v="40"/>
    <n v="7200"/>
    <n v="793"/>
    <d v="2025-03-25T00:00:00"/>
    <n v="0.14103425117528542"/>
    <n v="0.19047619047619047"/>
    <n v="8.0794451450189158"/>
  </r>
  <r>
    <n v="407"/>
    <n v="19"/>
    <x v="0"/>
    <x v="4"/>
    <s v="CMP108"/>
    <x v="4"/>
    <n v="4308"/>
    <n v="381"/>
    <n v="19"/>
    <n v="2242"/>
    <n v="240"/>
    <d v="2025-03-15T00:00:00"/>
    <n v="8.844011142061281E-2"/>
    <n v="4.9868766404199474E-2"/>
    <n v="8.3416666666666668"/>
  </r>
  <r>
    <n v="408"/>
    <n v="35"/>
    <x v="0"/>
    <x v="2"/>
    <s v="CMP102"/>
    <x v="0"/>
    <n v="2997"/>
    <n v="356"/>
    <n v="79"/>
    <n v="7347"/>
    <n v="1489"/>
    <d v="2025-04-28T00:00:00"/>
    <n v="0.11878545211878545"/>
    <n v="0.22191011235955055"/>
    <n v="3.9341840161182002"/>
  </r>
  <r>
    <n v="409"/>
    <n v="19"/>
    <x v="0"/>
    <x v="4"/>
    <s v="CMP105"/>
    <x v="3"/>
    <n v="1270"/>
    <n v="133"/>
    <n v="74"/>
    <n v="14504"/>
    <n v="866"/>
    <d v="2025-01-03T00:00:00"/>
    <n v="0.1047244094488189"/>
    <n v="0.55639097744360899"/>
    <n v="15.748267898383371"/>
  </r>
  <r>
    <n v="410"/>
    <n v="29"/>
    <x v="1"/>
    <x v="5"/>
    <s v="CMP102"/>
    <x v="2"/>
    <n v="3921"/>
    <n v="345"/>
    <n v="6"/>
    <n v="720"/>
    <n v="1304"/>
    <d v="2025-04-17T00:00:00"/>
    <n v="8.7987758224942619E-2"/>
    <n v="1.7391304347826087E-2"/>
    <n v="-0.44785276073619634"/>
  </r>
  <r>
    <n v="411"/>
    <n v="38"/>
    <x v="0"/>
    <x v="0"/>
    <s v="CMP100"/>
    <x v="4"/>
    <n v="2356"/>
    <n v="360"/>
    <n v="49"/>
    <n v="8820"/>
    <n v="1185"/>
    <d v="2025-04-05T00:00:00"/>
    <n v="0.15280135823429541"/>
    <n v="0.1361111111111111"/>
    <n v="6.443037974683544"/>
  </r>
  <r>
    <n v="412"/>
    <n v="35"/>
    <x v="1"/>
    <x v="2"/>
    <s v="CMP103"/>
    <x v="1"/>
    <n v="1931"/>
    <n v="343"/>
    <n v="32"/>
    <n v="4256"/>
    <n v="476"/>
    <d v="2025-04-09T00:00:00"/>
    <n v="0.17762817193164163"/>
    <n v="9.3294460641399415E-2"/>
    <n v="7.9411764705882355"/>
  </r>
  <r>
    <n v="413"/>
    <n v="51"/>
    <x v="0"/>
    <x v="2"/>
    <s v="CMP102"/>
    <x v="0"/>
    <n v="4000"/>
    <n v="424"/>
    <n v="77"/>
    <n v="8393"/>
    <n v="1857"/>
    <d v="2025-03-08T00:00:00"/>
    <n v="0.106"/>
    <n v="0.18160377358490565"/>
    <n v="3.5196553581044694"/>
  </r>
  <r>
    <n v="414"/>
    <n v="28"/>
    <x v="0"/>
    <x v="2"/>
    <s v="CMP109"/>
    <x v="2"/>
    <n v="3743"/>
    <n v="384"/>
    <n v="45"/>
    <n v="4590"/>
    <n v="1286"/>
    <d v="2025-02-26T00:00:00"/>
    <n v="0.10259150414106331"/>
    <n v="0.1171875"/>
    <n v="2.5692068429237946"/>
  </r>
  <r>
    <n v="415"/>
    <n v="45"/>
    <x v="1"/>
    <x v="1"/>
    <s v="CMP104"/>
    <x v="3"/>
    <n v="1641"/>
    <n v="149"/>
    <n v="37"/>
    <n v="4181"/>
    <n v="878"/>
    <d v="2025-01-07T00:00:00"/>
    <n v="9.0798293723339432E-2"/>
    <n v="0.24832214765100671"/>
    <n v="3.7619589977220955"/>
  </r>
  <r>
    <n v="416"/>
    <n v="37"/>
    <x v="0"/>
    <x v="2"/>
    <s v="CMP102"/>
    <x v="4"/>
    <n v="3767"/>
    <n v="470"/>
    <n v="60"/>
    <n v="8640"/>
    <n v="1032"/>
    <d v="2025-01-29T00:00:00"/>
    <n v="0.12476771967082559"/>
    <n v="0.1276595744680851"/>
    <n v="7.3720930232558137"/>
  </r>
  <r>
    <n v="417"/>
    <n v="48"/>
    <x v="1"/>
    <x v="3"/>
    <s v="CMP100"/>
    <x v="2"/>
    <n v="3773"/>
    <n v="493"/>
    <n v="22"/>
    <n v="2684"/>
    <n v="1642"/>
    <d v="2025-04-23T00:00:00"/>
    <n v="0.13066525311423272"/>
    <n v="4.4624746450304259E-2"/>
    <n v="0.63459196102314253"/>
  </r>
  <r>
    <n v="418"/>
    <n v="29"/>
    <x v="0"/>
    <x v="0"/>
    <s v="CMP105"/>
    <x v="3"/>
    <n v="2329"/>
    <n v="113"/>
    <n v="73"/>
    <n v="8249"/>
    <n v="1615"/>
    <d v="2025-03-06T00:00:00"/>
    <n v="4.8518677544010305E-2"/>
    <n v="0.64601769911504425"/>
    <n v="4.1077399380804955"/>
  </r>
  <r>
    <n v="419"/>
    <n v="41"/>
    <x v="0"/>
    <x v="3"/>
    <s v="CMP102"/>
    <x v="1"/>
    <n v="1554"/>
    <n v="437"/>
    <n v="54"/>
    <n v="5886"/>
    <n v="1036"/>
    <d v="2025-03-16T00:00:00"/>
    <n v="0.28120978120978118"/>
    <n v="0.12356979405034325"/>
    <n v="4.6814671814671813"/>
  </r>
  <r>
    <n v="420"/>
    <n v="23"/>
    <x v="0"/>
    <x v="0"/>
    <s v="CMP104"/>
    <x v="1"/>
    <n v="1678"/>
    <n v="479"/>
    <n v="68"/>
    <n v="8840"/>
    <n v="1457"/>
    <d v="2025-01-30T00:00:00"/>
    <n v="0.28545887961859356"/>
    <n v="0.14196242171189979"/>
    <n v="5.0672614962251199"/>
  </r>
  <r>
    <n v="421"/>
    <n v="52"/>
    <x v="1"/>
    <x v="4"/>
    <s v="CMP106"/>
    <x v="0"/>
    <n v="4509"/>
    <n v="171"/>
    <n v="41"/>
    <n v="7380"/>
    <n v="369"/>
    <d v="2025-01-06T00:00:00"/>
    <n v="3.7924151696606789E-2"/>
    <n v="0.23976608187134502"/>
    <n v="19"/>
  </r>
  <r>
    <n v="422"/>
    <n v="34"/>
    <x v="0"/>
    <x v="0"/>
    <s v="CMP105"/>
    <x v="4"/>
    <n v="1285"/>
    <n v="250"/>
    <n v="33"/>
    <n v="4554"/>
    <n v="276"/>
    <d v="2025-03-09T00:00:00"/>
    <n v="0.19455252918287938"/>
    <n v="0.13200000000000001"/>
    <n v="15.5"/>
  </r>
  <r>
    <n v="423"/>
    <n v="39"/>
    <x v="1"/>
    <x v="3"/>
    <s v="CMP104"/>
    <x v="3"/>
    <n v="3640"/>
    <n v="214"/>
    <n v="53"/>
    <n v="9964"/>
    <n v="873"/>
    <d v="2025-03-28T00:00:00"/>
    <n v="5.8791208791208791E-2"/>
    <n v="0.24766355140186916"/>
    <n v="10.413516609392898"/>
  </r>
  <r>
    <n v="424"/>
    <n v="38"/>
    <x v="0"/>
    <x v="5"/>
    <s v="CMP104"/>
    <x v="4"/>
    <n v="1446"/>
    <n v="436"/>
    <n v="46"/>
    <n v="5106"/>
    <n v="1577"/>
    <d v="2025-02-13T00:00:00"/>
    <n v="0.30152143845089902"/>
    <n v="0.10550458715596331"/>
    <n v="2.2377932783766648"/>
  </r>
  <r>
    <n v="425"/>
    <n v="45"/>
    <x v="0"/>
    <x v="5"/>
    <s v="CMP107"/>
    <x v="1"/>
    <n v="638"/>
    <n v="408"/>
    <n v="72"/>
    <n v="5760"/>
    <n v="1722"/>
    <d v="2025-04-09T00:00:00"/>
    <n v="0.63949843260188088"/>
    <n v="0.17647058823529413"/>
    <n v="2.3449477351916377"/>
  </r>
  <r>
    <n v="426"/>
    <n v="34"/>
    <x v="1"/>
    <x v="5"/>
    <s v="CMP102"/>
    <x v="1"/>
    <n v="1634"/>
    <n v="403"/>
    <n v="15"/>
    <n v="1950"/>
    <n v="1195"/>
    <d v="2025-03-23T00:00:00"/>
    <n v="0.24663402692778458"/>
    <n v="3.7220843672456573E-2"/>
    <n v="0.63179916317991636"/>
  </r>
  <r>
    <n v="427"/>
    <n v="54"/>
    <x v="1"/>
    <x v="3"/>
    <s v="CMP106"/>
    <x v="3"/>
    <n v="2651"/>
    <n v="263"/>
    <n v="28"/>
    <n v="2744"/>
    <n v="961"/>
    <d v="2025-03-26T00:00:00"/>
    <n v="9.9207846095812902E-2"/>
    <n v="0.10646387832699619"/>
    <n v="1.8553590010405827"/>
  </r>
  <r>
    <n v="428"/>
    <n v="53"/>
    <x v="1"/>
    <x v="4"/>
    <s v="CMP105"/>
    <x v="4"/>
    <n v="3067"/>
    <n v="333"/>
    <n v="9"/>
    <n v="1620"/>
    <n v="856"/>
    <d v="2025-01-19T00:00:00"/>
    <n v="0.10857515487447017"/>
    <n v="2.7027027027027029E-2"/>
    <n v="0.89252336448598135"/>
  </r>
  <r>
    <n v="429"/>
    <n v="29"/>
    <x v="1"/>
    <x v="2"/>
    <s v="CMP105"/>
    <x v="4"/>
    <n v="2546"/>
    <n v="113"/>
    <n v="15"/>
    <n v="1890"/>
    <n v="1908"/>
    <d v="2025-01-21T00:00:00"/>
    <n v="4.4383346425765906E-2"/>
    <n v="0.13274336283185842"/>
    <n v="-9.433962264150943E-3"/>
  </r>
  <r>
    <n v="430"/>
    <n v="37"/>
    <x v="1"/>
    <x v="0"/>
    <s v="CMP108"/>
    <x v="2"/>
    <n v="4329"/>
    <n v="444"/>
    <n v="9"/>
    <n v="1215"/>
    <n v="1176"/>
    <d v="2025-02-15T00:00:00"/>
    <n v="0.10256410256410256"/>
    <n v="2.0270270270270271E-2"/>
    <n v="3.3163265306122451E-2"/>
  </r>
  <r>
    <n v="431"/>
    <n v="49"/>
    <x v="0"/>
    <x v="5"/>
    <s v="CMP105"/>
    <x v="0"/>
    <n v="1382"/>
    <n v="196"/>
    <n v="30"/>
    <n v="5610"/>
    <n v="1527"/>
    <d v="2025-02-24T00:00:00"/>
    <n v="0.14182344428364688"/>
    <n v="0.15306122448979592"/>
    <n v="2.6738703339882122"/>
  </r>
  <r>
    <n v="432"/>
    <n v="32"/>
    <x v="0"/>
    <x v="2"/>
    <s v="CMP108"/>
    <x v="2"/>
    <n v="2110"/>
    <n v="466"/>
    <n v="66"/>
    <n v="6732"/>
    <n v="1439"/>
    <d v="2025-04-25T00:00:00"/>
    <n v="0.22085308056872038"/>
    <n v="0.14163090128755365"/>
    <n v="3.6782487838776929"/>
  </r>
  <r>
    <n v="433"/>
    <n v="35"/>
    <x v="1"/>
    <x v="2"/>
    <s v="CMP102"/>
    <x v="0"/>
    <n v="4325"/>
    <n v="228"/>
    <n v="57"/>
    <n v="9690"/>
    <n v="1173"/>
    <d v="2025-02-16T00:00:00"/>
    <n v="5.2716763005780348E-2"/>
    <n v="0.25"/>
    <n v="7.2608695652173916"/>
  </r>
  <r>
    <n v="434"/>
    <n v="26"/>
    <x v="1"/>
    <x v="1"/>
    <s v="CMP107"/>
    <x v="0"/>
    <n v="4322"/>
    <n v="309"/>
    <n v="11"/>
    <n v="1254"/>
    <n v="564"/>
    <d v="2025-04-26T00:00:00"/>
    <n v="7.1494678389634428E-2"/>
    <n v="3.5598705501618123E-2"/>
    <n v="1.2234042553191489"/>
  </r>
  <r>
    <n v="435"/>
    <n v="20"/>
    <x v="1"/>
    <x v="5"/>
    <s v="CMP104"/>
    <x v="4"/>
    <n v="2884"/>
    <n v="418"/>
    <n v="76"/>
    <n v="10792"/>
    <n v="346"/>
    <d v="2025-01-13T00:00:00"/>
    <n v="0.14493758668515949"/>
    <n v="0.18181818181818182"/>
    <n v="30.190751445086704"/>
  </r>
  <r>
    <n v="436"/>
    <n v="49"/>
    <x v="0"/>
    <x v="0"/>
    <s v="CMP105"/>
    <x v="1"/>
    <n v="1442"/>
    <n v="238"/>
    <n v="35"/>
    <n v="6755"/>
    <n v="919"/>
    <d v="2025-04-03T00:00:00"/>
    <n v="0.1650485436893204"/>
    <n v="0.14705882352941177"/>
    <n v="6.3503808487486397"/>
  </r>
  <r>
    <n v="437"/>
    <n v="33"/>
    <x v="0"/>
    <x v="4"/>
    <s v="CMP101"/>
    <x v="2"/>
    <n v="4406"/>
    <n v="103"/>
    <n v="14"/>
    <n v="1400"/>
    <n v="519"/>
    <d v="2025-02-10T00:00:00"/>
    <n v="2.3377212891511574E-2"/>
    <n v="0.13592233009708737"/>
    <n v="1.6974951830443159"/>
  </r>
  <r>
    <n v="438"/>
    <n v="47"/>
    <x v="0"/>
    <x v="1"/>
    <s v="CMP102"/>
    <x v="3"/>
    <n v="4235"/>
    <n v="84"/>
    <n v="60"/>
    <n v="8160"/>
    <n v="1509"/>
    <d v="2025-01-19T00:00:00"/>
    <n v="1.9834710743801654E-2"/>
    <n v="0.7142857142857143"/>
    <n v="4.4075546719681906"/>
  </r>
  <r>
    <n v="439"/>
    <n v="20"/>
    <x v="0"/>
    <x v="0"/>
    <s v="CMP100"/>
    <x v="3"/>
    <n v="2811"/>
    <n v="331"/>
    <n v="75"/>
    <n v="6450"/>
    <n v="741"/>
    <d v="2025-02-05T00:00:00"/>
    <n v="0.11775168979011028"/>
    <n v="0.22658610271903323"/>
    <n v="7.7044534412955468"/>
  </r>
  <r>
    <n v="440"/>
    <n v="30"/>
    <x v="1"/>
    <x v="1"/>
    <s v="CMP107"/>
    <x v="0"/>
    <n v="524"/>
    <n v="86"/>
    <n v="5"/>
    <n v="580"/>
    <n v="1110"/>
    <d v="2025-01-08T00:00:00"/>
    <n v="0.16412213740458015"/>
    <n v="5.8139534883720929E-2"/>
    <n v="-0.47747747747747749"/>
  </r>
  <r>
    <n v="441"/>
    <n v="53"/>
    <x v="1"/>
    <x v="0"/>
    <s v="CMP102"/>
    <x v="0"/>
    <n v="2735"/>
    <n v="177"/>
    <n v="77"/>
    <n v="6160"/>
    <n v="1350"/>
    <d v="2025-03-07T00:00:00"/>
    <n v="6.4716636197440586E-2"/>
    <n v="0.43502824858757061"/>
    <n v="3.5629629629629629"/>
  </r>
  <r>
    <n v="442"/>
    <n v="31"/>
    <x v="1"/>
    <x v="0"/>
    <s v="CMP103"/>
    <x v="2"/>
    <n v="3675"/>
    <n v="72"/>
    <n v="13"/>
    <n v="1625"/>
    <n v="1001"/>
    <d v="2025-01-30T00:00:00"/>
    <n v="1.9591836734693877E-2"/>
    <n v="0.18055555555555555"/>
    <n v="0.62337662337662336"/>
  </r>
  <r>
    <n v="443"/>
    <n v="20"/>
    <x v="1"/>
    <x v="3"/>
    <s v="CMP101"/>
    <x v="0"/>
    <n v="2514"/>
    <n v="407"/>
    <n v="79"/>
    <n v="11929"/>
    <n v="1578"/>
    <d v="2025-02-14T00:00:00"/>
    <n v="0.1618933969769292"/>
    <n v="0.1941031941031941"/>
    <n v="6.5595690747782003"/>
  </r>
  <r>
    <n v="444"/>
    <n v="34"/>
    <x v="0"/>
    <x v="3"/>
    <s v="CMP106"/>
    <x v="3"/>
    <n v="4144"/>
    <n v="132"/>
    <n v="20"/>
    <n v="2380"/>
    <n v="1289"/>
    <d v="2025-02-03T00:00:00"/>
    <n v="3.1853281853281852E-2"/>
    <n v="0.15151515151515152"/>
    <n v="0.84639255236617528"/>
  </r>
  <r>
    <n v="445"/>
    <n v="51"/>
    <x v="1"/>
    <x v="3"/>
    <s v="CMP106"/>
    <x v="3"/>
    <n v="1997"/>
    <n v="62"/>
    <n v="60"/>
    <n v="6600"/>
    <n v="310"/>
    <d v="2025-03-08T00:00:00"/>
    <n v="3.1046569854782172E-2"/>
    <n v="0.967741935483871"/>
    <n v="20.29032258064516"/>
  </r>
  <r>
    <n v="446"/>
    <n v="46"/>
    <x v="0"/>
    <x v="0"/>
    <s v="CMP106"/>
    <x v="3"/>
    <n v="3451"/>
    <n v="264"/>
    <n v="59"/>
    <n v="11623"/>
    <n v="1250"/>
    <d v="2025-02-22T00:00:00"/>
    <n v="7.6499565343378734E-2"/>
    <n v="0.22348484848484848"/>
    <n v="8.2984000000000009"/>
  </r>
  <r>
    <n v="447"/>
    <n v="30"/>
    <x v="0"/>
    <x v="5"/>
    <s v="CMP104"/>
    <x v="3"/>
    <n v="4378"/>
    <n v="370"/>
    <n v="21"/>
    <n v="2289"/>
    <n v="1456"/>
    <d v="2025-01-19T00:00:00"/>
    <n v="8.4513476473275465E-2"/>
    <n v="5.675675675675676E-2"/>
    <n v="0.57211538461538458"/>
  </r>
  <r>
    <n v="448"/>
    <n v="34"/>
    <x v="1"/>
    <x v="2"/>
    <s v="CMP106"/>
    <x v="1"/>
    <n v="4358"/>
    <n v="362"/>
    <n v="29"/>
    <n v="3190"/>
    <n v="925"/>
    <d v="2025-01-23T00:00:00"/>
    <n v="8.3065626434144099E-2"/>
    <n v="8.0110497237569064E-2"/>
    <n v="2.4486486486486485"/>
  </r>
  <r>
    <n v="449"/>
    <n v="31"/>
    <x v="1"/>
    <x v="3"/>
    <s v="CMP101"/>
    <x v="1"/>
    <n v="2089"/>
    <n v="101"/>
    <n v="24"/>
    <n v="4632"/>
    <n v="359"/>
    <d v="2025-01-28T00:00:00"/>
    <n v="4.8348492101483967E-2"/>
    <n v="0.23762376237623761"/>
    <n v="11.902506963788301"/>
  </r>
  <r>
    <n v="450"/>
    <n v="47"/>
    <x v="0"/>
    <x v="3"/>
    <s v="CMP103"/>
    <x v="3"/>
    <n v="1511"/>
    <n v="102"/>
    <n v="28"/>
    <n v="2828"/>
    <n v="1046"/>
    <d v="2025-03-18T00:00:00"/>
    <n v="6.7504963600264728E-2"/>
    <n v="0.27450980392156865"/>
    <n v="1.7036328871892925"/>
  </r>
  <r>
    <n v="451"/>
    <n v="51"/>
    <x v="1"/>
    <x v="2"/>
    <s v="CMP108"/>
    <x v="3"/>
    <n v="1535"/>
    <n v="168"/>
    <n v="35"/>
    <n v="5635"/>
    <n v="1513"/>
    <d v="2025-03-17T00:00:00"/>
    <n v="0.10944625407166124"/>
    <n v="0.20833333333333334"/>
    <n v="2.7243886318572375"/>
  </r>
  <r>
    <n v="452"/>
    <n v="34"/>
    <x v="0"/>
    <x v="0"/>
    <s v="CMP106"/>
    <x v="2"/>
    <n v="1764"/>
    <n v="398"/>
    <n v="30"/>
    <n v="4950"/>
    <n v="1319"/>
    <d v="2025-03-29T00:00:00"/>
    <n v="0.2256235827664399"/>
    <n v="7.5376884422110546E-2"/>
    <n v="2.7528430629264595"/>
  </r>
  <r>
    <n v="453"/>
    <n v="46"/>
    <x v="0"/>
    <x v="4"/>
    <s v="CMP108"/>
    <x v="0"/>
    <n v="1317"/>
    <n v="313"/>
    <n v="45"/>
    <n v="6660"/>
    <n v="589"/>
    <d v="2025-03-06T00:00:00"/>
    <n v="0.23766135155656795"/>
    <n v="0.14376996805111822"/>
    <n v="10.30730050933786"/>
  </r>
  <r>
    <n v="454"/>
    <n v="53"/>
    <x v="1"/>
    <x v="3"/>
    <s v="CMP101"/>
    <x v="2"/>
    <n v="4732"/>
    <n v="460"/>
    <n v="38"/>
    <n v="5586"/>
    <n v="627"/>
    <d v="2025-01-15T00:00:00"/>
    <n v="9.7210481825866446E-2"/>
    <n v="8.2608695652173908E-2"/>
    <n v="7.9090909090909092"/>
  </r>
  <r>
    <n v="455"/>
    <n v="29"/>
    <x v="1"/>
    <x v="4"/>
    <s v="CMP102"/>
    <x v="2"/>
    <n v="1318"/>
    <n v="190"/>
    <n v="53"/>
    <n v="10123"/>
    <n v="397"/>
    <d v="2025-02-06T00:00:00"/>
    <n v="0.1441578148710167"/>
    <n v="0.27894736842105261"/>
    <n v="24.498740554156171"/>
  </r>
  <r>
    <n v="456"/>
    <n v="44"/>
    <x v="1"/>
    <x v="4"/>
    <s v="CMP108"/>
    <x v="1"/>
    <n v="2948"/>
    <n v="235"/>
    <n v="33"/>
    <n v="4587"/>
    <n v="1128"/>
    <d v="2025-04-30T00:00:00"/>
    <n v="7.9715061058344638E-2"/>
    <n v="0.14042553191489363"/>
    <n v="3.0664893617021276"/>
  </r>
  <r>
    <n v="457"/>
    <n v="54"/>
    <x v="0"/>
    <x v="0"/>
    <s v="CMP100"/>
    <x v="1"/>
    <n v="4618"/>
    <n v="262"/>
    <n v="25"/>
    <n v="2300"/>
    <n v="434"/>
    <d v="2025-01-24T00:00:00"/>
    <n v="5.6734517106972714E-2"/>
    <n v="9.5419847328244281E-2"/>
    <n v="4.2995391705069128"/>
  </r>
  <r>
    <n v="458"/>
    <n v="47"/>
    <x v="1"/>
    <x v="2"/>
    <s v="CMP108"/>
    <x v="2"/>
    <n v="1022"/>
    <n v="322"/>
    <n v="72"/>
    <n v="7488"/>
    <n v="630"/>
    <d v="2025-01-21T00:00:00"/>
    <n v="0.31506849315068491"/>
    <n v="0.2236024844720497"/>
    <n v="10.885714285714286"/>
  </r>
  <r>
    <n v="459"/>
    <n v="45"/>
    <x v="0"/>
    <x v="2"/>
    <s v="CMP108"/>
    <x v="1"/>
    <n v="1816"/>
    <n v="347"/>
    <n v="21"/>
    <n v="4137"/>
    <n v="1324"/>
    <d v="2025-04-09T00:00:00"/>
    <n v="0.19107929515418501"/>
    <n v="6.0518731988472622E-2"/>
    <n v="2.1246223564954683"/>
  </r>
  <r>
    <n v="460"/>
    <n v="54"/>
    <x v="1"/>
    <x v="0"/>
    <s v="CMP103"/>
    <x v="1"/>
    <n v="3874"/>
    <n v="195"/>
    <n v="75"/>
    <n v="12075"/>
    <n v="1236"/>
    <d v="2025-01-31T00:00:00"/>
    <n v="5.0335570469798654E-2"/>
    <n v="0.38461538461538464"/>
    <n v="8.7694174757281562"/>
  </r>
  <r>
    <n v="461"/>
    <n v="50"/>
    <x v="1"/>
    <x v="3"/>
    <s v="CMP103"/>
    <x v="2"/>
    <n v="4924"/>
    <n v="215"/>
    <n v="79"/>
    <n v="13035"/>
    <n v="1151"/>
    <d v="2025-04-19T00:00:00"/>
    <n v="4.3663688058489032E-2"/>
    <n v="0.36744186046511629"/>
    <n v="10.324934839270199"/>
  </r>
  <r>
    <n v="462"/>
    <n v="24"/>
    <x v="1"/>
    <x v="5"/>
    <s v="CMP103"/>
    <x v="0"/>
    <n v="2378"/>
    <n v="222"/>
    <n v="38"/>
    <n v="3306"/>
    <n v="1951"/>
    <d v="2025-01-18T00:00:00"/>
    <n v="9.3355761143818342E-2"/>
    <n v="0.17117117117117117"/>
    <n v="0.69451563300871344"/>
  </r>
  <r>
    <n v="463"/>
    <n v="18"/>
    <x v="1"/>
    <x v="2"/>
    <s v="CMP103"/>
    <x v="2"/>
    <n v="1439"/>
    <n v="198"/>
    <n v="32"/>
    <n v="4256"/>
    <n v="687"/>
    <d v="2025-01-21T00:00:00"/>
    <n v="0.13759555246699096"/>
    <n v="0.16161616161616163"/>
    <n v="5.1950509461426488"/>
  </r>
  <r>
    <n v="464"/>
    <n v="27"/>
    <x v="1"/>
    <x v="3"/>
    <s v="CMP104"/>
    <x v="3"/>
    <n v="3823"/>
    <n v="284"/>
    <n v="17"/>
    <n v="2176"/>
    <n v="1536"/>
    <d v="2025-02-13T00:00:00"/>
    <n v="7.4287208998168971E-2"/>
    <n v="5.9859154929577461E-2"/>
    <n v="0.41666666666666669"/>
  </r>
  <r>
    <n v="465"/>
    <n v="41"/>
    <x v="1"/>
    <x v="0"/>
    <s v="CMP101"/>
    <x v="2"/>
    <n v="2600"/>
    <n v="123"/>
    <n v="50"/>
    <n v="5800"/>
    <n v="1748"/>
    <d v="2025-03-27T00:00:00"/>
    <n v="4.7307692307692308E-2"/>
    <n v="0.4065040650406504"/>
    <n v="2.3180778032036615"/>
  </r>
  <r>
    <n v="466"/>
    <n v="34"/>
    <x v="1"/>
    <x v="4"/>
    <s v="CMP105"/>
    <x v="0"/>
    <n v="4993"/>
    <n v="187"/>
    <n v="39"/>
    <n v="7410"/>
    <n v="586"/>
    <d v="2025-04-26T00:00:00"/>
    <n v="3.7452433406769479E-2"/>
    <n v="0.20855614973262032"/>
    <n v="11.645051194539249"/>
  </r>
  <r>
    <n v="467"/>
    <n v="18"/>
    <x v="0"/>
    <x v="1"/>
    <s v="CMP103"/>
    <x v="4"/>
    <n v="4766"/>
    <n v="458"/>
    <n v="64"/>
    <n v="11584"/>
    <n v="1057"/>
    <d v="2025-04-29T00:00:00"/>
    <n v="9.6097356273604703E-2"/>
    <n v="0.13973799126637554"/>
    <n v="9.9593188268684951"/>
  </r>
  <r>
    <n v="468"/>
    <n v="45"/>
    <x v="0"/>
    <x v="1"/>
    <s v="CMP109"/>
    <x v="4"/>
    <n v="3727"/>
    <n v="321"/>
    <n v="51"/>
    <n v="9333"/>
    <n v="664"/>
    <d v="2025-03-17T00:00:00"/>
    <n v="8.612825328682587E-2"/>
    <n v="0.15887850467289719"/>
    <n v="13.055722891566266"/>
  </r>
  <r>
    <n v="469"/>
    <n v="47"/>
    <x v="1"/>
    <x v="2"/>
    <s v="CMP108"/>
    <x v="3"/>
    <n v="4366"/>
    <n v="230"/>
    <n v="46"/>
    <n v="5796"/>
    <n v="1922"/>
    <d v="2025-02-03T00:00:00"/>
    <n v="5.2679798442510306E-2"/>
    <n v="0.2"/>
    <n v="2.0156087408949013"/>
  </r>
  <r>
    <n v="470"/>
    <n v="24"/>
    <x v="1"/>
    <x v="2"/>
    <s v="CMP103"/>
    <x v="0"/>
    <n v="3962"/>
    <n v="273"/>
    <n v="29"/>
    <n v="3886"/>
    <n v="232"/>
    <d v="2025-02-26T00:00:00"/>
    <n v="6.8904593639575976E-2"/>
    <n v="0.10622710622710622"/>
    <n v="15.75"/>
  </r>
  <r>
    <n v="471"/>
    <n v="53"/>
    <x v="0"/>
    <x v="0"/>
    <s v="CMP106"/>
    <x v="4"/>
    <n v="4209"/>
    <n v="61"/>
    <n v="20"/>
    <n v="2440"/>
    <n v="919"/>
    <d v="2025-04-10T00:00:00"/>
    <n v="1.4492753623188406E-2"/>
    <n v="0.32786885245901637"/>
    <n v="1.6550598476605005"/>
  </r>
  <r>
    <n v="472"/>
    <n v="40"/>
    <x v="0"/>
    <x v="1"/>
    <s v="CMP108"/>
    <x v="0"/>
    <n v="4902"/>
    <n v="209"/>
    <n v="79"/>
    <n v="13904"/>
    <n v="975"/>
    <d v="2025-04-30T00:00:00"/>
    <n v="4.2635658914728682E-2"/>
    <n v="0.37799043062200954"/>
    <n v="13.260512820512821"/>
  </r>
  <r>
    <n v="473"/>
    <n v="20"/>
    <x v="0"/>
    <x v="4"/>
    <s v="CMP108"/>
    <x v="3"/>
    <n v="3616"/>
    <n v="263"/>
    <n v="63"/>
    <n v="11529"/>
    <n v="843"/>
    <d v="2025-01-29T00:00:00"/>
    <n v="7.2732300884955747E-2"/>
    <n v="0.23954372623574144"/>
    <n v="12.676156583629894"/>
  </r>
  <r>
    <n v="474"/>
    <n v="40"/>
    <x v="0"/>
    <x v="4"/>
    <s v="CMP109"/>
    <x v="3"/>
    <n v="3157"/>
    <n v="275"/>
    <n v="32"/>
    <n v="5056"/>
    <n v="1428"/>
    <d v="2025-01-04T00:00:00"/>
    <n v="8.7108013937282236E-2"/>
    <n v="0.11636363636363636"/>
    <n v="2.5406162464985993"/>
  </r>
  <r>
    <n v="475"/>
    <n v="28"/>
    <x v="0"/>
    <x v="2"/>
    <s v="CMP105"/>
    <x v="0"/>
    <n v="892"/>
    <n v="168"/>
    <n v="9"/>
    <n v="1467"/>
    <n v="807"/>
    <d v="2025-04-15T00:00:00"/>
    <n v="0.18834080717488788"/>
    <n v="5.3571428571428568E-2"/>
    <n v="0.81784386617100369"/>
  </r>
  <r>
    <n v="476"/>
    <n v="43"/>
    <x v="0"/>
    <x v="1"/>
    <s v="CMP108"/>
    <x v="0"/>
    <n v="2052"/>
    <n v="108"/>
    <n v="75"/>
    <n v="10200"/>
    <n v="561"/>
    <d v="2025-01-10T00:00:00"/>
    <n v="5.2631578947368418E-2"/>
    <n v="0.69444444444444442"/>
    <n v="17.181818181818183"/>
  </r>
  <r>
    <n v="477"/>
    <n v="48"/>
    <x v="1"/>
    <x v="5"/>
    <s v="CMP100"/>
    <x v="1"/>
    <n v="960"/>
    <n v="230"/>
    <n v="76"/>
    <n v="11172"/>
    <n v="1583"/>
    <d v="2025-02-18T00:00:00"/>
    <n v="0.23958333333333334"/>
    <n v="0.33043478260869563"/>
    <n v="6.0574857864813643"/>
  </r>
  <r>
    <n v="478"/>
    <n v="48"/>
    <x v="0"/>
    <x v="5"/>
    <s v="CMP108"/>
    <x v="1"/>
    <n v="3673"/>
    <n v="265"/>
    <n v="58"/>
    <n v="7888"/>
    <n v="1923"/>
    <d v="2025-02-15T00:00:00"/>
    <n v="7.2148107813776202E-2"/>
    <n v="0.21886792452830189"/>
    <n v="3.1019240769630785"/>
  </r>
  <r>
    <n v="479"/>
    <n v="28"/>
    <x v="1"/>
    <x v="1"/>
    <s v="CMP107"/>
    <x v="4"/>
    <n v="3813"/>
    <n v="331"/>
    <n v="9"/>
    <n v="1179"/>
    <n v="1819"/>
    <d v="2025-02-23T00:00:00"/>
    <n v="8.6808287437713086E-2"/>
    <n v="2.7190332326283987E-2"/>
    <n v="-0.35184167124793841"/>
  </r>
  <r>
    <n v="480"/>
    <n v="49"/>
    <x v="1"/>
    <x v="1"/>
    <s v="CMP109"/>
    <x v="3"/>
    <n v="2196"/>
    <n v="483"/>
    <n v="42"/>
    <n v="3948"/>
    <n v="1961"/>
    <d v="2025-01-21T00:00:00"/>
    <n v="0.21994535519125682"/>
    <n v="8.6956521739130432E-2"/>
    <n v="1.0132585415604283"/>
  </r>
  <r>
    <n v="481"/>
    <n v="35"/>
    <x v="0"/>
    <x v="5"/>
    <s v="CMP109"/>
    <x v="4"/>
    <n v="3000"/>
    <n v="439"/>
    <n v="42"/>
    <n v="6930"/>
    <n v="1797"/>
    <d v="2025-02-15T00:00:00"/>
    <n v="0.14633333333333334"/>
    <n v="9.5671981776765377E-2"/>
    <n v="2.8564273789649417"/>
  </r>
  <r>
    <n v="482"/>
    <n v="46"/>
    <x v="1"/>
    <x v="3"/>
    <s v="CMP107"/>
    <x v="3"/>
    <n v="2432"/>
    <n v="272"/>
    <n v="7"/>
    <n v="595"/>
    <n v="1189"/>
    <d v="2025-02-13T00:00:00"/>
    <n v="0.1118421052631579"/>
    <n v="2.5735294117647058E-2"/>
    <n v="-0.49957947855340623"/>
  </r>
  <r>
    <n v="483"/>
    <n v="28"/>
    <x v="0"/>
    <x v="0"/>
    <s v="CMP101"/>
    <x v="3"/>
    <n v="992"/>
    <n v="284"/>
    <n v="37"/>
    <n v="7067"/>
    <n v="1944"/>
    <d v="2025-01-11T00:00:00"/>
    <n v="0.28629032258064518"/>
    <n v="0.13028169014084506"/>
    <n v="2.6352880658436213"/>
  </r>
  <r>
    <n v="484"/>
    <n v="52"/>
    <x v="0"/>
    <x v="3"/>
    <s v="CMP107"/>
    <x v="0"/>
    <n v="4063"/>
    <n v="119"/>
    <n v="45"/>
    <n v="6615"/>
    <n v="471"/>
    <d v="2025-03-05T00:00:00"/>
    <n v="2.9288702928870293E-2"/>
    <n v="0.37815126050420167"/>
    <n v="13.044585987261147"/>
  </r>
  <r>
    <n v="485"/>
    <n v="35"/>
    <x v="1"/>
    <x v="4"/>
    <s v="CMP102"/>
    <x v="1"/>
    <n v="2993"/>
    <n v="381"/>
    <n v="15"/>
    <n v="2520"/>
    <n v="556"/>
    <d v="2025-03-28T00:00:00"/>
    <n v="0.12729702639492149"/>
    <n v="3.937007874015748E-2"/>
    <n v="3.5323741007194243"/>
  </r>
  <r>
    <n v="486"/>
    <n v="46"/>
    <x v="1"/>
    <x v="5"/>
    <s v="CMP101"/>
    <x v="1"/>
    <n v="1369"/>
    <n v="423"/>
    <n v="30"/>
    <n v="2490"/>
    <n v="1613"/>
    <d v="2025-01-17T00:00:00"/>
    <n v="0.30898466033601169"/>
    <n v="7.0921985815602842E-2"/>
    <n v="0.54370737755734655"/>
  </r>
  <r>
    <n v="487"/>
    <n v="25"/>
    <x v="0"/>
    <x v="5"/>
    <s v="CMP109"/>
    <x v="2"/>
    <n v="744"/>
    <n v="385"/>
    <n v="70"/>
    <n v="13860"/>
    <n v="1129"/>
    <d v="2025-01-08T00:00:00"/>
    <n v="0.51747311827956988"/>
    <n v="0.18181818181818182"/>
    <n v="11.276350752878654"/>
  </r>
  <r>
    <n v="488"/>
    <n v="34"/>
    <x v="0"/>
    <x v="0"/>
    <s v="CMP103"/>
    <x v="1"/>
    <n v="3025"/>
    <n v="401"/>
    <n v="69"/>
    <n v="8142"/>
    <n v="1650"/>
    <d v="2025-03-29T00:00:00"/>
    <n v="0.13256198347107437"/>
    <n v="0.17206982543640897"/>
    <n v="3.9345454545454546"/>
  </r>
  <r>
    <n v="489"/>
    <n v="27"/>
    <x v="1"/>
    <x v="3"/>
    <s v="CMP103"/>
    <x v="2"/>
    <n v="3301"/>
    <n v="391"/>
    <n v="48"/>
    <n v="5568"/>
    <n v="336"/>
    <d v="2025-04-11T00:00:00"/>
    <n v="0.11844895486216298"/>
    <n v="0.12276214833759591"/>
    <n v="15.571428571428571"/>
  </r>
  <r>
    <n v="490"/>
    <n v="38"/>
    <x v="0"/>
    <x v="3"/>
    <s v="CMP107"/>
    <x v="2"/>
    <n v="4083"/>
    <n v="205"/>
    <n v="46"/>
    <n v="5612"/>
    <n v="1478"/>
    <d v="2025-02-11T00:00:00"/>
    <n v="5.0208180259613031E-2"/>
    <n v="0.22439024390243903"/>
    <n v="2.7970230040595401"/>
  </r>
  <r>
    <n v="491"/>
    <n v="39"/>
    <x v="0"/>
    <x v="1"/>
    <s v="CMP104"/>
    <x v="0"/>
    <n v="2869"/>
    <n v="104"/>
    <n v="76"/>
    <n v="12920"/>
    <n v="1143"/>
    <d v="2025-01-27T00:00:00"/>
    <n v="3.6249564308121297E-2"/>
    <n v="0.73076923076923073"/>
    <n v="10.303587051618548"/>
  </r>
  <r>
    <n v="492"/>
    <n v="27"/>
    <x v="1"/>
    <x v="4"/>
    <s v="CMP103"/>
    <x v="4"/>
    <n v="3436"/>
    <n v="398"/>
    <n v="71"/>
    <n v="8804"/>
    <n v="1876"/>
    <d v="2025-01-09T00:00:00"/>
    <n v="0.11583236321303841"/>
    <n v="0.17839195979899497"/>
    <n v="3.692963752665245"/>
  </r>
  <r>
    <n v="493"/>
    <n v="18"/>
    <x v="0"/>
    <x v="3"/>
    <s v="CMP108"/>
    <x v="3"/>
    <n v="1961"/>
    <n v="297"/>
    <n v="31"/>
    <n v="6014"/>
    <n v="745"/>
    <d v="2025-04-03T00:00:00"/>
    <n v="0.15145334013258541"/>
    <n v="0.10437710437710437"/>
    <n v="7.0724832214765101"/>
  </r>
  <r>
    <n v="494"/>
    <n v="47"/>
    <x v="0"/>
    <x v="2"/>
    <s v="CMP102"/>
    <x v="3"/>
    <n v="4922"/>
    <n v="290"/>
    <n v="71"/>
    <n v="7029"/>
    <n v="1179"/>
    <d v="2025-04-09T00:00:00"/>
    <n v="5.8919138561560343E-2"/>
    <n v="0.24482758620689654"/>
    <n v="4.9618320610687023"/>
  </r>
  <r>
    <n v="495"/>
    <n v="46"/>
    <x v="1"/>
    <x v="3"/>
    <s v="CMP103"/>
    <x v="2"/>
    <n v="4196"/>
    <n v="408"/>
    <n v="21"/>
    <n v="2604"/>
    <n v="473"/>
    <d v="2025-02-22T00:00:00"/>
    <n v="9.7235462345090562E-2"/>
    <n v="5.1470588235294115E-2"/>
    <n v="4.5052854122621566"/>
  </r>
  <r>
    <n v="496"/>
    <n v="18"/>
    <x v="1"/>
    <x v="0"/>
    <s v="CMP109"/>
    <x v="1"/>
    <n v="3662"/>
    <n v="131"/>
    <n v="72"/>
    <n v="13896"/>
    <n v="1160"/>
    <d v="2025-01-26T00:00:00"/>
    <n v="3.5772801747678863E-2"/>
    <n v="0.54961832061068705"/>
    <n v="10.979310344827587"/>
  </r>
  <r>
    <n v="497"/>
    <n v="22"/>
    <x v="1"/>
    <x v="3"/>
    <s v="CMP109"/>
    <x v="1"/>
    <n v="4199"/>
    <n v="392"/>
    <n v="14"/>
    <n v="2156"/>
    <n v="514"/>
    <d v="2025-03-06T00:00:00"/>
    <n v="9.3355560847820915E-2"/>
    <n v="3.5714285714285712E-2"/>
    <n v="3.1945525291828796"/>
  </r>
  <r>
    <n v="498"/>
    <n v="22"/>
    <x v="1"/>
    <x v="2"/>
    <s v="CMP107"/>
    <x v="3"/>
    <n v="2901"/>
    <n v="286"/>
    <n v="45"/>
    <n v="6615"/>
    <n v="932"/>
    <d v="2025-02-20T00:00:00"/>
    <n v="9.8586694243364359E-2"/>
    <n v="0.15734265734265734"/>
    <n v="6.0976394849785409"/>
  </r>
  <r>
    <n v="499"/>
    <n v="24"/>
    <x v="1"/>
    <x v="2"/>
    <s v="CMP106"/>
    <x v="3"/>
    <n v="1160"/>
    <n v="148"/>
    <n v="30"/>
    <n v="5640"/>
    <n v="602"/>
    <d v="2025-03-12T00:00:00"/>
    <n v="0.12758620689655173"/>
    <n v="0.20270270270270271"/>
    <n v="8.368770764119601"/>
  </r>
  <r>
    <n v="500"/>
    <n v="46"/>
    <x v="1"/>
    <x v="3"/>
    <s v="CMP107"/>
    <x v="3"/>
    <n v="2679"/>
    <n v="328"/>
    <n v="19"/>
    <n v="3705"/>
    <n v="953"/>
    <d v="2025-02-10T00:00:00"/>
    <n v="0.12243374393430384"/>
    <n v="5.7926829268292686E-2"/>
    <n v="2.8877229800629589"/>
  </r>
  <r>
    <n v="501"/>
    <n v="44"/>
    <x v="1"/>
    <x v="4"/>
    <s v="CMP103"/>
    <x v="1"/>
    <n v="1891"/>
    <n v="196"/>
    <n v="50"/>
    <n v="9450"/>
    <n v="1123"/>
    <d v="2025-01-15T00:00:00"/>
    <n v="0.10364886303543099"/>
    <n v="0.25510204081632654"/>
    <n v="7.4149599287622436"/>
  </r>
  <r>
    <n v="502"/>
    <n v="41"/>
    <x v="0"/>
    <x v="1"/>
    <s v="CMP107"/>
    <x v="1"/>
    <n v="4566"/>
    <n v="470"/>
    <n v="5"/>
    <n v="950"/>
    <n v="906"/>
    <d v="2025-03-04T00:00:00"/>
    <n v="0.1029347349978099"/>
    <n v="1.0638297872340425E-2"/>
    <n v="4.856512141280353E-2"/>
  </r>
  <r>
    <n v="503"/>
    <n v="40"/>
    <x v="0"/>
    <x v="1"/>
    <s v="CMP104"/>
    <x v="2"/>
    <n v="4107"/>
    <n v="73"/>
    <n v="8"/>
    <n v="1088"/>
    <n v="489"/>
    <d v="2025-04-30T00:00:00"/>
    <n v="1.7774531288044803E-2"/>
    <n v="0.1095890410958904"/>
    <n v="1.2249488752556237"/>
  </r>
  <r>
    <n v="504"/>
    <n v="23"/>
    <x v="1"/>
    <x v="5"/>
    <s v="CMP104"/>
    <x v="4"/>
    <n v="778"/>
    <n v="414"/>
    <n v="73"/>
    <n v="9636"/>
    <n v="1062"/>
    <d v="2025-02-26T00:00:00"/>
    <n v="0.53213367609254503"/>
    <n v="0.17632850241545894"/>
    <n v="8.0734463276836159"/>
  </r>
  <r>
    <n v="505"/>
    <n v="38"/>
    <x v="0"/>
    <x v="0"/>
    <s v="CMP103"/>
    <x v="0"/>
    <n v="2173"/>
    <n v="217"/>
    <n v="11"/>
    <n v="1287"/>
    <n v="1838"/>
    <d v="2025-01-03T00:00:00"/>
    <n v="9.9861942015646576E-2"/>
    <n v="5.0691244239631339E-2"/>
    <n v="-0.2997823721436344"/>
  </r>
  <r>
    <n v="506"/>
    <n v="53"/>
    <x v="1"/>
    <x v="4"/>
    <s v="CMP108"/>
    <x v="1"/>
    <n v="883"/>
    <n v="228"/>
    <n v="51"/>
    <n v="5967"/>
    <n v="1043"/>
    <d v="2025-03-10T00:00:00"/>
    <n v="0.25821064552661382"/>
    <n v="0.22368421052631579"/>
    <n v="4.7209971236816877"/>
  </r>
  <r>
    <n v="507"/>
    <n v="54"/>
    <x v="0"/>
    <x v="0"/>
    <s v="CMP108"/>
    <x v="2"/>
    <n v="3914"/>
    <n v="363"/>
    <n v="54"/>
    <n v="7614"/>
    <n v="1765"/>
    <d v="2025-04-22T00:00:00"/>
    <n v="9.2743995912110369E-2"/>
    <n v="0.1487603305785124"/>
    <n v="3.3138810198300281"/>
  </r>
  <r>
    <n v="508"/>
    <n v="33"/>
    <x v="1"/>
    <x v="0"/>
    <s v="CMP107"/>
    <x v="2"/>
    <n v="705"/>
    <n v="234"/>
    <n v="51"/>
    <n v="6018"/>
    <n v="1963"/>
    <d v="2025-01-22T00:00:00"/>
    <n v="0.33191489361702126"/>
    <n v="0.21794871794871795"/>
    <n v="2.0657157412124301"/>
  </r>
  <r>
    <n v="509"/>
    <n v="48"/>
    <x v="1"/>
    <x v="1"/>
    <s v="CMP109"/>
    <x v="1"/>
    <n v="4808"/>
    <n v="359"/>
    <n v="25"/>
    <n v="2375"/>
    <n v="952"/>
    <d v="2025-03-15T00:00:00"/>
    <n v="7.4667221297836942E-2"/>
    <n v="6.9637883008356549E-2"/>
    <n v="1.4947478991596639"/>
  </r>
  <r>
    <n v="510"/>
    <n v="39"/>
    <x v="0"/>
    <x v="4"/>
    <s v="CMP108"/>
    <x v="1"/>
    <n v="4849"/>
    <n v="58"/>
    <n v="15"/>
    <n v="1335"/>
    <n v="1703"/>
    <d v="2025-01-17T00:00:00"/>
    <n v="1.1961229119406063E-2"/>
    <n v="0.25862068965517243"/>
    <n v="-0.21608925425719319"/>
  </r>
  <r>
    <n v="511"/>
    <n v="38"/>
    <x v="0"/>
    <x v="4"/>
    <s v="CMP104"/>
    <x v="1"/>
    <n v="4407"/>
    <n v="97"/>
    <n v="56"/>
    <n v="5824"/>
    <n v="1334"/>
    <d v="2025-04-12T00:00:00"/>
    <n v="2.201043793964148E-2"/>
    <n v="0.57731958762886593"/>
    <n v="3.3658170914542729"/>
  </r>
  <r>
    <n v="512"/>
    <n v="53"/>
    <x v="1"/>
    <x v="3"/>
    <s v="CMP100"/>
    <x v="0"/>
    <n v="3300"/>
    <n v="370"/>
    <n v="67"/>
    <n v="8710"/>
    <n v="1952"/>
    <d v="2025-04-15T00:00:00"/>
    <n v="0.11212121212121212"/>
    <n v="0.18108108108108109"/>
    <n v="3.4620901639344264"/>
  </r>
  <r>
    <n v="513"/>
    <n v="40"/>
    <x v="0"/>
    <x v="2"/>
    <s v="CMP109"/>
    <x v="4"/>
    <n v="4699"/>
    <n v="320"/>
    <n v="43"/>
    <n v="3440"/>
    <n v="1421"/>
    <d v="2025-02-08T00:00:00"/>
    <n v="6.8099595658650772E-2"/>
    <n v="0.13437499999999999"/>
    <n v="1.4208304011259676"/>
  </r>
  <r>
    <n v="514"/>
    <n v="46"/>
    <x v="1"/>
    <x v="0"/>
    <s v="CMP108"/>
    <x v="4"/>
    <n v="1008"/>
    <n v="175"/>
    <n v="61"/>
    <n v="6893"/>
    <n v="1816"/>
    <d v="2025-01-13T00:00:00"/>
    <n v="0.1736111111111111"/>
    <n v="0.34857142857142859"/>
    <n v="2.7957048458149778"/>
  </r>
  <r>
    <n v="515"/>
    <n v="34"/>
    <x v="1"/>
    <x v="2"/>
    <s v="CMP100"/>
    <x v="1"/>
    <n v="4857"/>
    <n v="389"/>
    <n v="56"/>
    <n v="4592"/>
    <n v="444"/>
    <d v="2025-03-17T00:00:00"/>
    <n v="8.0090590899732347E-2"/>
    <n v="0.14395886889460155"/>
    <n v="9.3423423423423415"/>
  </r>
  <r>
    <n v="516"/>
    <n v="34"/>
    <x v="0"/>
    <x v="3"/>
    <s v="CMP102"/>
    <x v="2"/>
    <n v="2403"/>
    <n v="224"/>
    <n v="59"/>
    <n v="8496"/>
    <n v="391"/>
    <d v="2025-03-31T00:00:00"/>
    <n v="9.321681231793591E-2"/>
    <n v="0.26339285714285715"/>
    <n v="20.728900255754475"/>
  </r>
  <r>
    <n v="517"/>
    <n v="35"/>
    <x v="1"/>
    <x v="1"/>
    <s v="CMP100"/>
    <x v="1"/>
    <n v="4354"/>
    <n v="149"/>
    <n v="36"/>
    <n v="5292"/>
    <n v="1063"/>
    <d v="2025-03-24T00:00:00"/>
    <n v="3.4221405604042257E-2"/>
    <n v="0.24161073825503357"/>
    <n v="3.9783631232361243"/>
  </r>
  <r>
    <n v="518"/>
    <n v="50"/>
    <x v="0"/>
    <x v="1"/>
    <s v="CMP101"/>
    <x v="3"/>
    <n v="542"/>
    <n v="421"/>
    <n v="39"/>
    <n v="6123"/>
    <n v="687"/>
    <d v="2025-03-02T00:00:00"/>
    <n v="0.7767527675276753"/>
    <n v="9.2636579572446559E-2"/>
    <n v="7.9126637554585155"/>
  </r>
  <r>
    <n v="519"/>
    <n v="36"/>
    <x v="1"/>
    <x v="0"/>
    <s v="CMP104"/>
    <x v="4"/>
    <n v="3886"/>
    <n v="462"/>
    <n v="10"/>
    <n v="1760"/>
    <n v="1088"/>
    <d v="2025-03-06T00:00:00"/>
    <n v="0.1188883170355121"/>
    <n v="2.1645021645021644E-2"/>
    <n v="0.61764705882352944"/>
  </r>
  <r>
    <n v="520"/>
    <n v="52"/>
    <x v="0"/>
    <x v="4"/>
    <s v="CMP102"/>
    <x v="3"/>
    <n v="1976"/>
    <n v="332"/>
    <n v="10"/>
    <n v="920"/>
    <n v="1199"/>
    <d v="2025-03-17T00:00:00"/>
    <n v="0.16801619433198381"/>
    <n v="3.0120481927710843E-2"/>
    <n v="-0.23269391159299416"/>
  </r>
  <r>
    <n v="521"/>
    <n v="37"/>
    <x v="1"/>
    <x v="2"/>
    <s v="CMP103"/>
    <x v="3"/>
    <n v="4163"/>
    <n v="428"/>
    <n v="47"/>
    <n v="7896"/>
    <n v="1681"/>
    <d v="2025-02-13T00:00:00"/>
    <n v="0.10281047321643046"/>
    <n v="0.10981308411214953"/>
    <n v="3.6972040452111838"/>
  </r>
  <r>
    <n v="522"/>
    <n v="54"/>
    <x v="0"/>
    <x v="5"/>
    <s v="CMP107"/>
    <x v="2"/>
    <n v="3722"/>
    <n v="51"/>
    <n v="26"/>
    <n v="3536"/>
    <n v="1082"/>
    <d v="2025-01-07T00:00:00"/>
    <n v="1.3702310585706609E-2"/>
    <n v="0.50980392156862742"/>
    <n v="2.2680221811460259"/>
  </r>
  <r>
    <n v="523"/>
    <n v="36"/>
    <x v="0"/>
    <x v="3"/>
    <s v="CMP102"/>
    <x v="2"/>
    <n v="3777"/>
    <n v="489"/>
    <n v="71"/>
    <n v="6745"/>
    <n v="1849"/>
    <d v="2025-03-23T00:00:00"/>
    <n v="0.12946783161239078"/>
    <n v="0.14519427402862986"/>
    <n v="2.647917793401839"/>
  </r>
  <r>
    <n v="524"/>
    <n v="44"/>
    <x v="0"/>
    <x v="1"/>
    <s v="CMP100"/>
    <x v="4"/>
    <n v="612"/>
    <n v="61"/>
    <n v="57"/>
    <n v="4788"/>
    <n v="530"/>
    <d v="2025-01-06T00:00:00"/>
    <n v="9.9673202614379092E-2"/>
    <n v="0.93442622950819676"/>
    <n v="8.0339622641509436"/>
  </r>
  <r>
    <n v="525"/>
    <n v="50"/>
    <x v="1"/>
    <x v="3"/>
    <s v="CMP101"/>
    <x v="3"/>
    <n v="3668"/>
    <n v="54"/>
    <n v="61"/>
    <n v="9028"/>
    <n v="1045"/>
    <d v="2025-04-22T00:00:00"/>
    <n v="1.4721919302071973E-2"/>
    <n v="1.1296296296296295"/>
    <n v="7.6392344497607656"/>
  </r>
  <r>
    <n v="526"/>
    <n v="21"/>
    <x v="0"/>
    <x v="4"/>
    <s v="CMP100"/>
    <x v="3"/>
    <n v="4060"/>
    <n v="68"/>
    <n v="73"/>
    <n v="12629"/>
    <n v="1673"/>
    <d v="2025-01-13T00:00:00"/>
    <n v="1.6748768472906402E-2"/>
    <n v="1.0735294117647058"/>
    <n v="6.5487148834429165"/>
  </r>
  <r>
    <n v="527"/>
    <n v="46"/>
    <x v="0"/>
    <x v="1"/>
    <s v="CMP107"/>
    <x v="1"/>
    <n v="4265"/>
    <n v="440"/>
    <n v="18"/>
    <n v="1764"/>
    <n v="414"/>
    <d v="2025-01-20T00:00:00"/>
    <n v="0.10316529894490035"/>
    <n v="4.0909090909090909E-2"/>
    <n v="3.2608695652173911"/>
  </r>
  <r>
    <n v="528"/>
    <n v="46"/>
    <x v="0"/>
    <x v="1"/>
    <s v="CMP109"/>
    <x v="1"/>
    <n v="3261"/>
    <n v="410"/>
    <n v="61"/>
    <n v="10309"/>
    <n v="1615"/>
    <d v="2025-01-17T00:00:00"/>
    <n v="0.12572830420116529"/>
    <n v="0.14878048780487804"/>
    <n v="5.3832817337461298"/>
  </r>
  <r>
    <n v="529"/>
    <n v="22"/>
    <x v="1"/>
    <x v="0"/>
    <s v="CMP101"/>
    <x v="0"/>
    <n v="2869"/>
    <n v="55"/>
    <n v="62"/>
    <n v="6634"/>
    <n v="1548"/>
    <d v="2025-03-31T00:00:00"/>
    <n v="1.9170442662948761E-2"/>
    <n v="1.1272727272727272"/>
    <n v="3.2855297157622738"/>
  </r>
  <r>
    <n v="530"/>
    <n v="27"/>
    <x v="0"/>
    <x v="2"/>
    <s v="CMP101"/>
    <x v="1"/>
    <n v="4302"/>
    <n v="226"/>
    <n v="75"/>
    <n v="6150"/>
    <n v="1218"/>
    <d v="2025-03-30T00:00:00"/>
    <n v="5.2533705253370526E-2"/>
    <n v="0.33185840707964603"/>
    <n v="4.0492610837438425"/>
  </r>
  <r>
    <n v="531"/>
    <n v="39"/>
    <x v="1"/>
    <x v="2"/>
    <s v="CMP109"/>
    <x v="3"/>
    <n v="707"/>
    <n v="51"/>
    <n v="28"/>
    <n v="3276"/>
    <n v="785"/>
    <d v="2025-02-12T00:00:00"/>
    <n v="7.2135785007072142E-2"/>
    <n v="0.5490196078431373"/>
    <n v="3.1732484076433121"/>
  </r>
  <r>
    <n v="532"/>
    <n v="37"/>
    <x v="0"/>
    <x v="0"/>
    <s v="CMP108"/>
    <x v="4"/>
    <n v="3866"/>
    <n v="268"/>
    <n v="33"/>
    <n v="5973"/>
    <n v="1718"/>
    <d v="2025-02-23T00:00:00"/>
    <n v="6.9322296947749606E-2"/>
    <n v="0.12313432835820895"/>
    <n v="2.4767171129220023"/>
  </r>
  <r>
    <n v="533"/>
    <n v="19"/>
    <x v="0"/>
    <x v="0"/>
    <s v="CMP104"/>
    <x v="4"/>
    <n v="2695"/>
    <n v="157"/>
    <n v="23"/>
    <n v="4094"/>
    <n v="795"/>
    <d v="2025-02-03T00:00:00"/>
    <n v="5.8256029684601113E-2"/>
    <n v="0.1464968152866242"/>
    <n v="4.1496855345911952"/>
  </r>
  <r>
    <n v="534"/>
    <n v="49"/>
    <x v="1"/>
    <x v="4"/>
    <s v="CMP105"/>
    <x v="0"/>
    <n v="2242"/>
    <n v="332"/>
    <n v="14"/>
    <n v="2464"/>
    <n v="272"/>
    <d v="2025-04-15T00:00:00"/>
    <n v="0.1480820695807315"/>
    <n v="4.2168674698795178E-2"/>
    <n v="8.0588235294117645"/>
  </r>
  <r>
    <n v="535"/>
    <n v="18"/>
    <x v="1"/>
    <x v="1"/>
    <s v="CMP102"/>
    <x v="2"/>
    <n v="4695"/>
    <n v="108"/>
    <n v="6"/>
    <n v="882"/>
    <n v="612"/>
    <d v="2025-01-26T00:00:00"/>
    <n v="2.3003194888178913E-2"/>
    <n v="5.5555555555555552E-2"/>
    <n v="0.44117647058823528"/>
  </r>
  <r>
    <n v="536"/>
    <n v="39"/>
    <x v="0"/>
    <x v="3"/>
    <s v="CMP103"/>
    <x v="3"/>
    <n v="3494"/>
    <n v="97"/>
    <n v="25"/>
    <n v="4975"/>
    <n v="1090"/>
    <d v="2025-04-08T00:00:00"/>
    <n v="2.7761877504293073E-2"/>
    <n v="0.25773195876288657"/>
    <n v="3.5642201834862384"/>
  </r>
  <r>
    <n v="537"/>
    <n v="21"/>
    <x v="1"/>
    <x v="4"/>
    <s v="CMP106"/>
    <x v="2"/>
    <n v="2961"/>
    <n v="74"/>
    <n v="32"/>
    <n v="6144"/>
    <n v="1672"/>
    <d v="2025-02-18T00:00:00"/>
    <n v="2.4991556906450524E-2"/>
    <n v="0.43243243243243246"/>
    <n v="2.6746411483253589"/>
  </r>
  <r>
    <n v="538"/>
    <n v="49"/>
    <x v="0"/>
    <x v="1"/>
    <s v="CMP105"/>
    <x v="3"/>
    <n v="582"/>
    <n v="434"/>
    <n v="14"/>
    <n v="2128"/>
    <n v="1643"/>
    <d v="2025-02-17T00:00:00"/>
    <n v="0.74570446735395191"/>
    <n v="3.2258064516129031E-2"/>
    <n v="0.29519172245891662"/>
  </r>
  <r>
    <n v="539"/>
    <n v="52"/>
    <x v="1"/>
    <x v="1"/>
    <s v="CMP103"/>
    <x v="0"/>
    <n v="3204"/>
    <n v="379"/>
    <n v="31"/>
    <n v="3999"/>
    <n v="253"/>
    <d v="2025-03-26T00:00:00"/>
    <n v="0.1182896379525593"/>
    <n v="8.1794195250659632E-2"/>
    <n v="14.806324110671937"/>
  </r>
  <r>
    <n v="540"/>
    <n v="44"/>
    <x v="1"/>
    <x v="2"/>
    <s v="CMP109"/>
    <x v="1"/>
    <n v="4962"/>
    <n v="320"/>
    <n v="8"/>
    <n v="1216"/>
    <n v="1828"/>
    <d v="2025-01-19T00:00:00"/>
    <n v="6.4490124949617089E-2"/>
    <n v="2.5000000000000001E-2"/>
    <n v="-0.33479212253829321"/>
  </r>
  <r>
    <n v="541"/>
    <n v="37"/>
    <x v="0"/>
    <x v="5"/>
    <s v="CMP107"/>
    <x v="0"/>
    <n v="1359"/>
    <n v="322"/>
    <n v="47"/>
    <n v="5640"/>
    <n v="576"/>
    <d v="2025-02-08T00:00:00"/>
    <n v="0.23693892568064753"/>
    <n v="0.14596273291925466"/>
    <n v="8.7916666666666661"/>
  </r>
  <r>
    <n v="542"/>
    <n v="50"/>
    <x v="1"/>
    <x v="4"/>
    <s v="CMP108"/>
    <x v="1"/>
    <n v="868"/>
    <n v="294"/>
    <n v="27"/>
    <n v="4725"/>
    <n v="1334"/>
    <d v="2025-04-20T00:00:00"/>
    <n v="0.33870967741935482"/>
    <n v="9.1836734693877556E-2"/>
    <n v="2.5419790104947526"/>
  </r>
  <r>
    <n v="543"/>
    <n v="28"/>
    <x v="1"/>
    <x v="5"/>
    <s v="CMP101"/>
    <x v="1"/>
    <n v="4664"/>
    <n v="348"/>
    <n v="52"/>
    <n v="6188"/>
    <n v="1001"/>
    <d v="2025-03-08T00:00:00"/>
    <n v="7.4614065180102912E-2"/>
    <n v="0.14942528735632185"/>
    <n v="5.1818181818181817"/>
  </r>
  <r>
    <n v="544"/>
    <n v="35"/>
    <x v="1"/>
    <x v="4"/>
    <s v="CMP106"/>
    <x v="1"/>
    <n v="4401"/>
    <n v="363"/>
    <n v="37"/>
    <n v="3515"/>
    <n v="530"/>
    <d v="2025-01-10T00:00:00"/>
    <n v="8.2481254260395362E-2"/>
    <n v="0.10192837465564739"/>
    <n v="5.632075471698113"/>
  </r>
  <r>
    <n v="545"/>
    <n v="30"/>
    <x v="0"/>
    <x v="2"/>
    <s v="CMP107"/>
    <x v="3"/>
    <n v="1861"/>
    <n v="87"/>
    <n v="23"/>
    <n v="3174"/>
    <n v="1387"/>
    <d v="2025-02-15T00:00:00"/>
    <n v="4.6749059645351962E-2"/>
    <n v="0.26436781609195403"/>
    <n v="1.2883922134102379"/>
  </r>
  <r>
    <n v="546"/>
    <n v="44"/>
    <x v="1"/>
    <x v="0"/>
    <s v="CMP107"/>
    <x v="2"/>
    <n v="2934"/>
    <n v="407"/>
    <n v="69"/>
    <n v="13731"/>
    <n v="1214"/>
    <d v="2025-02-20T00:00:00"/>
    <n v="0.1387184730743013"/>
    <n v="0.16953316953316952"/>
    <n v="10.310543657331136"/>
  </r>
  <r>
    <n v="547"/>
    <n v="42"/>
    <x v="1"/>
    <x v="2"/>
    <s v="CMP106"/>
    <x v="1"/>
    <n v="993"/>
    <n v="258"/>
    <n v="77"/>
    <n v="6545"/>
    <n v="708"/>
    <d v="2025-04-23T00:00:00"/>
    <n v="0.25981873111782477"/>
    <n v="0.29844961240310075"/>
    <n v="8.2443502824858754"/>
  </r>
  <r>
    <n v="548"/>
    <n v="35"/>
    <x v="0"/>
    <x v="5"/>
    <s v="CMP107"/>
    <x v="4"/>
    <n v="4527"/>
    <n v="333"/>
    <n v="58"/>
    <n v="5104"/>
    <n v="748"/>
    <d v="2025-02-28T00:00:00"/>
    <n v="7.3558648111332003E-2"/>
    <n v="0.17417417417417416"/>
    <n v="5.8235294117647056"/>
  </r>
  <r>
    <n v="549"/>
    <n v="53"/>
    <x v="1"/>
    <x v="2"/>
    <s v="CMP101"/>
    <x v="4"/>
    <n v="3317"/>
    <n v="494"/>
    <n v="62"/>
    <n v="8618"/>
    <n v="562"/>
    <d v="2025-04-17T00:00:00"/>
    <n v="0.14892975580343684"/>
    <n v="0.12550607287449392"/>
    <n v="14.334519572953736"/>
  </r>
  <r>
    <n v="550"/>
    <n v="28"/>
    <x v="0"/>
    <x v="4"/>
    <s v="CMP109"/>
    <x v="1"/>
    <n v="1858"/>
    <n v="141"/>
    <n v="22"/>
    <n v="2222"/>
    <n v="262"/>
    <d v="2025-02-26T00:00:00"/>
    <n v="7.5888051668460715E-2"/>
    <n v="0.15602836879432624"/>
    <n v="7.4809160305343507"/>
  </r>
  <r>
    <n v="551"/>
    <n v="41"/>
    <x v="0"/>
    <x v="1"/>
    <s v="CMP103"/>
    <x v="1"/>
    <n v="4851"/>
    <n v="184"/>
    <n v="65"/>
    <n v="8645"/>
    <n v="1074"/>
    <d v="2025-04-02T00:00:00"/>
    <n v="3.7930323644609361E-2"/>
    <n v="0.35326086956521741"/>
    <n v="7.0493482309124769"/>
  </r>
  <r>
    <n v="552"/>
    <n v="18"/>
    <x v="0"/>
    <x v="5"/>
    <s v="CMP105"/>
    <x v="3"/>
    <n v="3778"/>
    <n v="178"/>
    <n v="59"/>
    <n v="9263"/>
    <n v="1226"/>
    <d v="2025-02-07T00:00:00"/>
    <n v="4.7114875595553204E-2"/>
    <n v="0.33146067415730335"/>
    <n v="6.5554649265905383"/>
  </r>
  <r>
    <n v="553"/>
    <n v="24"/>
    <x v="0"/>
    <x v="1"/>
    <s v="CMP102"/>
    <x v="2"/>
    <n v="1424"/>
    <n v="182"/>
    <n v="78"/>
    <n v="7800"/>
    <n v="1059"/>
    <d v="2025-04-19T00:00:00"/>
    <n v="0.12780898876404495"/>
    <n v="0.42857142857142855"/>
    <n v="6.3654390934844196"/>
  </r>
  <r>
    <n v="554"/>
    <n v="44"/>
    <x v="1"/>
    <x v="2"/>
    <s v="CMP107"/>
    <x v="4"/>
    <n v="1302"/>
    <n v="118"/>
    <n v="5"/>
    <n v="455"/>
    <n v="395"/>
    <d v="2025-04-16T00:00:00"/>
    <n v="9.0629800307219663E-2"/>
    <n v="4.2372881355932202E-2"/>
    <n v="0.15189873417721519"/>
  </r>
  <r>
    <n v="555"/>
    <n v="41"/>
    <x v="1"/>
    <x v="5"/>
    <s v="CMP108"/>
    <x v="3"/>
    <n v="4106"/>
    <n v="202"/>
    <n v="25"/>
    <n v="3550"/>
    <n v="260"/>
    <d v="2025-04-19T00:00:00"/>
    <n v="4.9196298100340964E-2"/>
    <n v="0.12376237623762376"/>
    <n v="12.653846153846153"/>
  </r>
  <r>
    <n v="556"/>
    <n v="33"/>
    <x v="1"/>
    <x v="2"/>
    <s v="CMP100"/>
    <x v="0"/>
    <n v="3091"/>
    <n v="104"/>
    <n v="9"/>
    <n v="1701"/>
    <n v="1771"/>
    <d v="2025-04-23T00:00:00"/>
    <n v="3.3646069233257844E-2"/>
    <n v="8.6538461538461536E-2"/>
    <n v="-3.9525691699604744E-2"/>
  </r>
  <r>
    <n v="557"/>
    <n v="52"/>
    <x v="1"/>
    <x v="4"/>
    <s v="CMP106"/>
    <x v="0"/>
    <n v="1736"/>
    <n v="366"/>
    <n v="13"/>
    <n v="2522"/>
    <n v="1229"/>
    <d v="2025-01-22T00:00:00"/>
    <n v="0.21082949308755761"/>
    <n v="3.5519125683060107E-2"/>
    <n v="1.0520748576078112"/>
  </r>
  <r>
    <n v="558"/>
    <n v="34"/>
    <x v="0"/>
    <x v="5"/>
    <s v="CMP106"/>
    <x v="3"/>
    <n v="2972"/>
    <n v="167"/>
    <n v="9"/>
    <n v="1494"/>
    <n v="1649"/>
    <d v="2025-03-21T00:00:00"/>
    <n v="5.6191117092866755E-2"/>
    <n v="5.3892215568862277E-2"/>
    <n v="-9.3996361431170405E-2"/>
  </r>
  <r>
    <n v="559"/>
    <n v="54"/>
    <x v="0"/>
    <x v="4"/>
    <s v="CMP106"/>
    <x v="4"/>
    <n v="3442"/>
    <n v="263"/>
    <n v="77"/>
    <n v="14630"/>
    <n v="1508"/>
    <d v="2025-01-13T00:00:00"/>
    <n v="7.6409064497385243E-2"/>
    <n v="0.29277566539923955"/>
    <n v="8.7015915119363392"/>
  </r>
  <r>
    <n v="560"/>
    <n v="38"/>
    <x v="0"/>
    <x v="4"/>
    <s v="CMP101"/>
    <x v="0"/>
    <n v="4129"/>
    <n v="421"/>
    <n v="27"/>
    <n v="2592"/>
    <n v="1268"/>
    <d v="2025-04-11T00:00:00"/>
    <n v="0.10196173407604747"/>
    <n v="6.413301662707839E-2"/>
    <n v="1.0441640378548895"/>
  </r>
  <r>
    <n v="561"/>
    <n v="50"/>
    <x v="1"/>
    <x v="1"/>
    <s v="CMP100"/>
    <x v="3"/>
    <n v="1145"/>
    <n v="157"/>
    <n v="22"/>
    <n v="2222"/>
    <n v="1829"/>
    <d v="2025-04-17T00:00:00"/>
    <n v="0.13711790393013101"/>
    <n v="0.14012738853503184"/>
    <n v="0.21487151448879169"/>
  </r>
  <r>
    <n v="562"/>
    <n v="53"/>
    <x v="0"/>
    <x v="2"/>
    <s v="CMP101"/>
    <x v="4"/>
    <n v="998"/>
    <n v="171"/>
    <n v="14"/>
    <n v="2716"/>
    <n v="1219"/>
    <d v="2025-03-14T00:00:00"/>
    <n v="0.17134268537074149"/>
    <n v="8.1871345029239762E-2"/>
    <n v="1.2280557834290402"/>
  </r>
  <r>
    <n v="563"/>
    <n v="36"/>
    <x v="1"/>
    <x v="0"/>
    <s v="CMP105"/>
    <x v="1"/>
    <n v="4111"/>
    <n v="60"/>
    <n v="43"/>
    <n v="5418"/>
    <n v="446"/>
    <d v="2025-01-15T00:00:00"/>
    <n v="1.4594989053758209E-2"/>
    <n v="0.71666666666666667"/>
    <n v="11.147982062780269"/>
  </r>
  <r>
    <n v="564"/>
    <n v="26"/>
    <x v="0"/>
    <x v="3"/>
    <s v="CMP100"/>
    <x v="3"/>
    <n v="3953"/>
    <n v="461"/>
    <n v="28"/>
    <n v="5208"/>
    <n v="1807"/>
    <d v="2025-03-03T00:00:00"/>
    <n v="0.11662028838856564"/>
    <n v="6.0737527114967459E-2"/>
    <n v="1.882125069175429"/>
  </r>
  <r>
    <n v="565"/>
    <n v="18"/>
    <x v="1"/>
    <x v="0"/>
    <s v="CMP101"/>
    <x v="0"/>
    <n v="4052"/>
    <n v="68"/>
    <n v="71"/>
    <n v="8449"/>
    <n v="529"/>
    <d v="2025-04-08T00:00:00"/>
    <n v="1.6781836130306021E-2"/>
    <n v="1.0441176470588236"/>
    <n v="14.971644612476371"/>
  </r>
  <r>
    <n v="566"/>
    <n v="30"/>
    <x v="0"/>
    <x v="4"/>
    <s v="CMP100"/>
    <x v="4"/>
    <n v="4736"/>
    <n v="295"/>
    <n v="5"/>
    <n v="860"/>
    <n v="1129"/>
    <d v="2025-04-27T00:00:00"/>
    <n v="6.228885135135135E-2"/>
    <n v="1.6949152542372881E-2"/>
    <n v="-0.23826395039858281"/>
  </r>
  <r>
    <n v="567"/>
    <n v="43"/>
    <x v="0"/>
    <x v="0"/>
    <s v="CMP100"/>
    <x v="1"/>
    <n v="3888"/>
    <n v="462"/>
    <n v="43"/>
    <n v="7181"/>
    <n v="839"/>
    <d v="2025-03-12T00:00:00"/>
    <n v="0.11882716049382716"/>
    <n v="9.3073593073593072E-2"/>
    <n v="7.5589988081048869"/>
  </r>
  <r>
    <n v="568"/>
    <n v="18"/>
    <x v="1"/>
    <x v="2"/>
    <s v="CMP100"/>
    <x v="2"/>
    <n v="1848"/>
    <n v="331"/>
    <n v="53"/>
    <n v="4558"/>
    <n v="1674"/>
    <d v="2025-03-03T00:00:00"/>
    <n v="0.17911255411255411"/>
    <n v="0.16012084592145015"/>
    <n v="1.7228195937873356"/>
  </r>
  <r>
    <n v="569"/>
    <n v="49"/>
    <x v="0"/>
    <x v="2"/>
    <s v="CMP109"/>
    <x v="3"/>
    <n v="750"/>
    <n v="302"/>
    <n v="7"/>
    <n v="756"/>
    <n v="1430"/>
    <d v="2025-01-16T00:00:00"/>
    <n v="0.40266666666666667"/>
    <n v="2.3178807947019868E-2"/>
    <n v="-0.47132867132867134"/>
  </r>
  <r>
    <n v="570"/>
    <n v="18"/>
    <x v="0"/>
    <x v="1"/>
    <s v="CMP108"/>
    <x v="0"/>
    <n v="4393"/>
    <n v="205"/>
    <n v="77"/>
    <n v="10395"/>
    <n v="831"/>
    <d v="2025-03-27T00:00:00"/>
    <n v="4.6665149100842247E-2"/>
    <n v="0.37560975609756098"/>
    <n v="11.509025270758123"/>
  </r>
  <r>
    <n v="571"/>
    <n v="24"/>
    <x v="1"/>
    <x v="2"/>
    <s v="CMP102"/>
    <x v="0"/>
    <n v="2972"/>
    <n v="413"/>
    <n v="55"/>
    <n v="10120"/>
    <n v="829"/>
    <d v="2025-01-19T00:00:00"/>
    <n v="0.13896366083445491"/>
    <n v="0.13317191283292978"/>
    <n v="11.207478890229192"/>
  </r>
  <r>
    <n v="572"/>
    <n v="47"/>
    <x v="0"/>
    <x v="0"/>
    <s v="CMP108"/>
    <x v="3"/>
    <n v="4508"/>
    <n v="478"/>
    <n v="19"/>
    <n v="1710"/>
    <n v="1098"/>
    <d v="2025-04-14T00:00:00"/>
    <n v="0.10603371783496007"/>
    <n v="3.9748953974895397E-2"/>
    <n v="0.55737704918032782"/>
  </r>
  <r>
    <n v="573"/>
    <n v="25"/>
    <x v="0"/>
    <x v="3"/>
    <s v="CMP105"/>
    <x v="1"/>
    <n v="2982"/>
    <n v="433"/>
    <n v="52"/>
    <n v="9100"/>
    <n v="393"/>
    <d v="2025-01-06T00:00:00"/>
    <n v="0.14520456069751844"/>
    <n v="0.12009237875288684"/>
    <n v="22.155216284987276"/>
  </r>
  <r>
    <n v="574"/>
    <n v="45"/>
    <x v="1"/>
    <x v="2"/>
    <s v="CMP103"/>
    <x v="4"/>
    <n v="3263"/>
    <n v="288"/>
    <n v="61"/>
    <n v="9638"/>
    <n v="491"/>
    <d v="2025-02-26T00:00:00"/>
    <n v="8.8262335274287465E-2"/>
    <n v="0.21180555555555555"/>
    <n v="18.629327902240327"/>
  </r>
  <r>
    <n v="575"/>
    <n v="32"/>
    <x v="1"/>
    <x v="2"/>
    <s v="CMP103"/>
    <x v="1"/>
    <n v="3620"/>
    <n v="222"/>
    <n v="70"/>
    <n v="8680"/>
    <n v="532"/>
    <d v="2025-03-05T00:00:00"/>
    <n v="6.132596685082873E-2"/>
    <n v="0.31531531531531531"/>
    <n v="15.315789473684211"/>
  </r>
  <r>
    <n v="576"/>
    <n v="31"/>
    <x v="0"/>
    <x v="2"/>
    <s v="CMP107"/>
    <x v="4"/>
    <n v="4816"/>
    <n v="172"/>
    <n v="71"/>
    <n v="9443"/>
    <n v="202"/>
    <d v="2025-02-28T00:00:00"/>
    <n v="3.5714285714285712E-2"/>
    <n v="0.41279069767441862"/>
    <n v="45.74752475247525"/>
  </r>
  <r>
    <n v="577"/>
    <n v="49"/>
    <x v="0"/>
    <x v="2"/>
    <s v="CMP101"/>
    <x v="3"/>
    <n v="3121"/>
    <n v="181"/>
    <n v="64"/>
    <n v="11136"/>
    <n v="1042"/>
    <d v="2025-03-03T00:00:00"/>
    <n v="5.7994232617750718E-2"/>
    <n v="0.35359116022099446"/>
    <n v="9.6871401151631478"/>
  </r>
  <r>
    <n v="578"/>
    <n v="51"/>
    <x v="0"/>
    <x v="2"/>
    <s v="CMP107"/>
    <x v="4"/>
    <n v="1779"/>
    <n v="98"/>
    <n v="13"/>
    <n v="1430"/>
    <n v="547"/>
    <d v="2025-03-20T00:00:00"/>
    <n v="5.5087127599775153E-2"/>
    <n v="0.1326530612244898"/>
    <n v="1.6142595978062158"/>
  </r>
  <r>
    <n v="579"/>
    <n v="54"/>
    <x v="0"/>
    <x v="5"/>
    <s v="CMP106"/>
    <x v="0"/>
    <n v="2455"/>
    <n v="185"/>
    <n v="77"/>
    <n v="10549"/>
    <n v="449"/>
    <d v="2025-04-06T00:00:00"/>
    <n v="7.5356415478615074E-2"/>
    <n v="0.41621621621621624"/>
    <n v="22.494432071269486"/>
  </r>
  <r>
    <n v="580"/>
    <n v="24"/>
    <x v="0"/>
    <x v="1"/>
    <s v="CMP108"/>
    <x v="3"/>
    <n v="3885"/>
    <n v="258"/>
    <n v="68"/>
    <n v="7344"/>
    <n v="243"/>
    <d v="2025-04-02T00:00:00"/>
    <n v="6.6409266409266407E-2"/>
    <n v="0.26356589147286824"/>
    <n v="29.222222222222221"/>
  </r>
  <r>
    <n v="581"/>
    <n v="40"/>
    <x v="1"/>
    <x v="5"/>
    <s v="CMP102"/>
    <x v="4"/>
    <n v="2425"/>
    <n v="462"/>
    <n v="62"/>
    <n v="5890"/>
    <n v="600"/>
    <d v="2025-01-21T00:00:00"/>
    <n v="0.19051546391752577"/>
    <n v="0.13419913419913421"/>
    <n v="8.8166666666666664"/>
  </r>
  <r>
    <n v="582"/>
    <n v="30"/>
    <x v="0"/>
    <x v="1"/>
    <s v="CMP105"/>
    <x v="1"/>
    <n v="1303"/>
    <n v="294"/>
    <n v="66"/>
    <n v="10230"/>
    <n v="1137"/>
    <d v="2025-01-16T00:00:00"/>
    <n v="0.22563315425940139"/>
    <n v="0.22448979591836735"/>
    <n v="7.997361477572559"/>
  </r>
  <r>
    <n v="583"/>
    <n v="19"/>
    <x v="0"/>
    <x v="2"/>
    <s v="CMP109"/>
    <x v="1"/>
    <n v="4091"/>
    <n v="153"/>
    <n v="63"/>
    <n v="11844"/>
    <n v="1263"/>
    <d v="2025-02-13T00:00:00"/>
    <n v="3.7399168907357616E-2"/>
    <n v="0.41176470588235292"/>
    <n v="8.3776722090261284"/>
  </r>
  <r>
    <n v="584"/>
    <n v="43"/>
    <x v="0"/>
    <x v="5"/>
    <s v="CMP106"/>
    <x v="2"/>
    <n v="4990"/>
    <n v="256"/>
    <n v="6"/>
    <n v="546"/>
    <n v="1401"/>
    <d v="2025-01-18T00:00:00"/>
    <n v="5.1302605210420842E-2"/>
    <n v="2.34375E-2"/>
    <n v="-0.61027837259100648"/>
  </r>
  <r>
    <n v="585"/>
    <n v="20"/>
    <x v="1"/>
    <x v="3"/>
    <s v="CMP105"/>
    <x v="1"/>
    <n v="883"/>
    <n v="111"/>
    <n v="42"/>
    <n v="7980"/>
    <n v="704"/>
    <d v="2025-03-08T00:00:00"/>
    <n v="0.12570781426953567"/>
    <n v="0.3783783783783784"/>
    <n v="10.335227272727273"/>
  </r>
  <r>
    <n v="586"/>
    <n v="49"/>
    <x v="0"/>
    <x v="1"/>
    <s v="CMP104"/>
    <x v="1"/>
    <n v="3793"/>
    <n v="110"/>
    <n v="5"/>
    <n v="620"/>
    <n v="1189"/>
    <d v="2025-04-20T00:00:00"/>
    <n v="2.9000790930661744E-2"/>
    <n v="4.5454545454545456E-2"/>
    <n v="-0.47855340622371739"/>
  </r>
  <r>
    <n v="587"/>
    <n v="32"/>
    <x v="0"/>
    <x v="2"/>
    <s v="CMP103"/>
    <x v="4"/>
    <n v="1422"/>
    <n v="405"/>
    <n v="11"/>
    <n v="2002"/>
    <n v="1809"/>
    <d v="2025-04-06T00:00:00"/>
    <n v="0.2848101265822785"/>
    <n v="2.7160493827160494E-2"/>
    <n v="0.10668877833056938"/>
  </r>
  <r>
    <n v="588"/>
    <n v="37"/>
    <x v="1"/>
    <x v="0"/>
    <s v="CMP100"/>
    <x v="0"/>
    <n v="2314"/>
    <n v="424"/>
    <n v="74"/>
    <n v="13320"/>
    <n v="1563"/>
    <d v="2025-01-28T00:00:00"/>
    <n v="0.18323249783923942"/>
    <n v="0.17452830188679244"/>
    <n v="7.522072936660269"/>
  </r>
  <r>
    <n v="589"/>
    <n v="23"/>
    <x v="0"/>
    <x v="3"/>
    <s v="CMP104"/>
    <x v="1"/>
    <n v="4987"/>
    <n v="306"/>
    <n v="41"/>
    <n v="4141"/>
    <n v="774"/>
    <d v="2025-04-06T00:00:00"/>
    <n v="6.1359534790455181E-2"/>
    <n v="0.13398692810457516"/>
    <n v="4.3501291989664086"/>
  </r>
  <r>
    <n v="590"/>
    <n v="23"/>
    <x v="1"/>
    <x v="4"/>
    <s v="CMP108"/>
    <x v="0"/>
    <n v="2040"/>
    <n v="365"/>
    <n v="50"/>
    <n v="6350"/>
    <n v="889"/>
    <d v="2025-02-25T00:00:00"/>
    <n v="0.17892156862745098"/>
    <n v="0.13698630136986301"/>
    <n v="6.1428571428571432"/>
  </r>
  <r>
    <n v="591"/>
    <n v="30"/>
    <x v="1"/>
    <x v="4"/>
    <s v="CMP105"/>
    <x v="0"/>
    <n v="865"/>
    <n v="236"/>
    <n v="33"/>
    <n v="6039"/>
    <n v="654"/>
    <d v="2025-01-18T00:00:00"/>
    <n v="0.27283236994219651"/>
    <n v="0.13983050847457626"/>
    <n v="8.2339449541284395"/>
  </r>
  <r>
    <n v="592"/>
    <n v="37"/>
    <x v="1"/>
    <x v="0"/>
    <s v="CMP109"/>
    <x v="1"/>
    <n v="2878"/>
    <n v="231"/>
    <n v="42"/>
    <n v="4452"/>
    <n v="887"/>
    <d v="2025-03-08T00:00:00"/>
    <n v="8.0264072272411391E-2"/>
    <n v="0.18181818181818182"/>
    <n v="4.019165727170237"/>
  </r>
  <r>
    <n v="593"/>
    <n v="33"/>
    <x v="1"/>
    <x v="3"/>
    <s v="CMP100"/>
    <x v="4"/>
    <n v="4960"/>
    <n v="396"/>
    <n v="39"/>
    <n v="3666"/>
    <n v="550"/>
    <d v="2025-02-04T00:00:00"/>
    <n v="7.9838709677419351E-2"/>
    <n v="9.8484848484848481E-2"/>
    <n v="5.6654545454545451"/>
  </r>
  <r>
    <n v="594"/>
    <n v="28"/>
    <x v="0"/>
    <x v="3"/>
    <s v="CMP104"/>
    <x v="0"/>
    <n v="3006"/>
    <n v="236"/>
    <n v="25"/>
    <n v="3325"/>
    <n v="698"/>
    <d v="2025-02-04T00:00:00"/>
    <n v="7.8509647371922828E-2"/>
    <n v="0.1059322033898305"/>
    <n v="3.7636103151862463"/>
  </r>
  <r>
    <n v="595"/>
    <n v="49"/>
    <x v="1"/>
    <x v="1"/>
    <s v="CMP103"/>
    <x v="0"/>
    <n v="665"/>
    <n v="464"/>
    <n v="28"/>
    <n v="3584"/>
    <n v="313"/>
    <d v="2025-02-01T00:00:00"/>
    <n v="0.69774436090225567"/>
    <n v="6.0344827586206899E-2"/>
    <n v="10.450479233226837"/>
  </r>
  <r>
    <n v="596"/>
    <n v="33"/>
    <x v="1"/>
    <x v="3"/>
    <s v="CMP104"/>
    <x v="2"/>
    <n v="4339"/>
    <n v="284"/>
    <n v="62"/>
    <n v="5084"/>
    <n v="1578"/>
    <d v="2025-03-26T00:00:00"/>
    <n v="6.5452869324729199E-2"/>
    <n v="0.21830985915492956"/>
    <n v="2.2217997465145753"/>
  </r>
  <r>
    <n v="597"/>
    <n v="46"/>
    <x v="1"/>
    <x v="1"/>
    <s v="CMP102"/>
    <x v="2"/>
    <n v="3696"/>
    <n v="187"/>
    <n v="29"/>
    <n v="4060"/>
    <n v="267"/>
    <d v="2025-02-12T00:00:00"/>
    <n v="5.0595238095238096E-2"/>
    <n v="0.15508021390374332"/>
    <n v="14.205992509363297"/>
  </r>
  <r>
    <n v="598"/>
    <n v="37"/>
    <x v="1"/>
    <x v="0"/>
    <s v="CMP102"/>
    <x v="0"/>
    <n v="4021"/>
    <n v="123"/>
    <n v="65"/>
    <n v="6760"/>
    <n v="1138"/>
    <d v="2025-03-28T00:00:00"/>
    <n v="3.0589405620492414E-2"/>
    <n v="0.52845528455284552"/>
    <n v="4.9402460456942006"/>
  </r>
  <r>
    <n v="599"/>
    <n v="22"/>
    <x v="0"/>
    <x v="4"/>
    <s v="CMP102"/>
    <x v="2"/>
    <n v="1150"/>
    <n v="159"/>
    <n v="59"/>
    <n v="8732"/>
    <n v="739"/>
    <d v="2025-01-21T00:00:00"/>
    <n v="0.13826086956521738"/>
    <n v="0.37106918238993708"/>
    <n v="10.81596752368065"/>
  </r>
  <r>
    <n v="600"/>
    <n v="37"/>
    <x v="1"/>
    <x v="1"/>
    <s v="CMP105"/>
    <x v="2"/>
    <n v="3327"/>
    <n v="99"/>
    <n v="8"/>
    <n v="1536"/>
    <n v="1981"/>
    <d v="2025-01-25T00:00:00"/>
    <n v="2.9756537421100092E-2"/>
    <n v="8.0808080808080815E-2"/>
    <n v="-0.22463402322059567"/>
  </r>
  <r>
    <n v="601"/>
    <n v="44"/>
    <x v="1"/>
    <x v="4"/>
    <s v="CMP106"/>
    <x v="0"/>
    <n v="1537"/>
    <n v="252"/>
    <n v="36"/>
    <n v="3492"/>
    <n v="388"/>
    <d v="2025-02-23T00:00:00"/>
    <n v="0.16395575797007156"/>
    <n v="0.14285714285714285"/>
    <n v="8"/>
  </r>
  <r>
    <n v="602"/>
    <n v="42"/>
    <x v="0"/>
    <x v="4"/>
    <s v="CMP108"/>
    <x v="0"/>
    <n v="1598"/>
    <n v="326"/>
    <n v="48"/>
    <n v="7968"/>
    <n v="1868"/>
    <d v="2025-02-23T00:00:00"/>
    <n v="0.20400500625782228"/>
    <n v="0.14723926380368099"/>
    <n v="3.2655246252676657"/>
  </r>
  <r>
    <n v="603"/>
    <n v="21"/>
    <x v="1"/>
    <x v="5"/>
    <s v="CMP100"/>
    <x v="3"/>
    <n v="3005"/>
    <n v="455"/>
    <n v="69"/>
    <n v="10350"/>
    <n v="1287"/>
    <d v="2025-01-15T00:00:00"/>
    <n v="0.15141430948419302"/>
    <n v="0.15164835164835164"/>
    <n v="7.0419580419580416"/>
  </r>
  <r>
    <n v="604"/>
    <n v="31"/>
    <x v="1"/>
    <x v="2"/>
    <s v="CMP101"/>
    <x v="0"/>
    <n v="1115"/>
    <n v="455"/>
    <n v="51"/>
    <n v="8772"/>
    <n v="920"/>
    <d v="2025-01-20T00:00:00"/>
    <n v="0.40807174887892378"/>
    <n v="0.11208791208791209"/>
    <n v="8.534782608695652"/>
  </r>
  <r>
    <n v="605"/>
    <n v="29"/>
    <x v="0"/>
    <x v="2"/>
    <s v="CMP107"/>
    <x v="4"/>
    <n v="1635"/>
    <n v="466"/>
    <n v="63"/>
    <n v="9954"/>
    <n v="1266"/>
    <d v="2025-04-28T00:00:00"/>
    <n v="0.28501529051987767"/>
    <n v="0.13519313304721031"/>
    <n v="6.8625592417061609"/>
  </r>
  <r>
    <n v="606"/>
    <n v="30"/>
    <x v="1"/>
    <x v="0"/>
    <s v="CMP101"/>
    <x v="1"/>
    <n v="3190"/>
    <n v="205"/>
    <n v="60"/>
    <n v="10380"/>
    <n v="289"/>
    <d v="2025-02-06T00:00:00"/>
    <n v="6.4263322884012541E-2"/>
    <n v="0.29268292682926828"/>
    <n v="34.916955017301035"/>
  </r>
  <r>
    <n v="607"/>
    <n v="28"/>
    <x v="0"/>
    <x v="5"/>
    <s v="CMP107"/>
    <x v="1"/>
    <n v="1444"/>
    <n v="279"/>
    <n v="70"/>
    <n v="7350"/>
    <n v="1661"/>
    <d v="2025-04-18T00:00:00"/>
    <n v="0.19321329639889195"/>
    <n v="0.25089605734767023"/>
    <n v="3.4250451535219746"/>
  </r>
  <r>
    <n v="608"/>
    <n v="43"/>
    <x v="0"/>
    <x v="2"/>
    <s v="CMP100"/>
    <x v="1"/>
    <n v="4382"/>
    <n v="199"/>
    <n v="24"/>
    <n v="2592"/>
    <n v="1231"/>
    <d v="2025-03-25T00:00:00"/>
    <n v="4.5413053400273851E-2"/>
    <n v="0.12060301507537688"/>
    <n v="1.1056051990251827"/>
  </r>
  <r>
    <n v="609"/>
    <n v="44"/>
    <x v="0"/>
    <x v="1"/>
    <s v="CMP104"/>
    <x v="0"/>
    <n v="1441"/>
    <n v="367"/>
    <n v="11"/>
    <n v="1364"/>
    <n v="1175"/>
    <d v="2025-03-28T00:00:00"/>
    <n v="0.25468424705065928"/>
    <n v="2.9972752043596729E-2"/>
    <n v="0.16085106382978723"/>
  </r>
  <r>
    <n v="610"/>
    <n v="54"/>
    <x v="1"/>
    <x v="1"/>
    <s v="CMP109"/>
    <x v="1"/>
    <n v="3827"/>
    <n v="122"/>
    <n v="39"/>
    <n v="6357"/>
    <n v="378"/>
    <d v="2025-03-22T00:00:00"/>
    <n v="3.1878756205905412E-2"/>
    <n v="0.31967213114754101"/>
    <n v="15.817460317460318"/>
  </r>
  <r>
    <n v="611"/>
    <n v="48"/>
    <x v="1"/>
    <x v="4"/>
    <s v="CMP104"/>
    <x v="3"/>
    <n v="3794"/>
    <n v="168"/>
    <n v="61"/>
    <n v="9638"/>
    <n v="1487"/>
    <d v="2025-04-04T00:00:00"/>
    <n v="4.4280442804428041E-2"/>
    <n v="0.36309523809523808"/>
    <n v="5.4815063887020852"/>
  </r>
  <r>
    <n v="612"/>
    <n v="36"/>
    <x v="0"/>
    <x v="4"/>
    <s v="CMP101"/>
    <x v="2"/>
    <n v="4356"/>
    <n v="113"/>
    <n v="46"/>
    <n v="4968"/>
    <n v="1573"/>
    <d v="2025-02-19T00:00:00"/>
    <n v="2.5941230486685032E-2"/>
    <n v="0.40707964601769914"/>
    <n v="2.1582962492053399"/>
  </r>
  <r>
    <n v="613"/>
    <n v="41"/>
    <x v="0"/>
    <x v="1"/>
    <s v="CMP109"/>
    <x v="3"/>
    <n v="1594"/>
    <n v="413"/>
    <n v="62"/>
    <n v="6138"/>
    <n v="962"/>
    <d v="2025-02-01T00:00:00"/>
    <n v="0.25909661229611042"/>
    <n v="0.15012106537530268"/>
    <n v="5.3804573804573801"/>
  </r>
  <r>
    <n v="614"/>
    <n v="25"/>
    <x v="0"/>
    <x v="3"/>
    <s v="CMP107"/>
    <x v="1"/>
    <n v="3655"/>
    <n v="436"/>
    <n v="41"/>
    <n v="4879"/>
    <n v="1861"/>
    <d v="2025-04-18T00:00:00"/>
    <n v="0.11928864569083447"/>
    <n v="9.4036697247706427E-2"/>
    <n v="1.6217087587318646"/>
  </r>
  <r>
    <n v="615"/>
    <n v="25"/>
    <x v="0"/>
    <x v="5"/>
    <s v="CMP107"/>
    <x v="4"/>
    <n v="2603"/>
    <n v="456"/>
    <n v="15"/>
    <n v="2145"/>
    <n v="309"/>
    <d v="2025-03-01T00:00:00"/>
    <n v="0.17518248175182483"/>
    <n v="3.2894736842105261E-2"/>
    <n v="5.941747572815534"/>
  </r>
  <r>
    <n v="616"/>
    <n v="30"/>
    <x v="1"/>
    <x v="1"/>
    <s v="CMP103"/>
    <x v="2"/>
    <n v="1149"/>
    <n v="88"/>
    <n v="32"/>
    <n v="3680"/>
    <n v="1272"/>
    <d v="2025-04-11T00:00:00"/>
    <n v="7.6588337684943428E-2"/>
    <n v="0.36363636363636365"/>
    <n v="1.8930817610062893"/>
  </r>
  <r>
    <n v="617"/>
    <n v="41"/>
    <x v="0"/>
    <x v="0"/>
    <s v="CMP107"/>
    <x v="0"/>
    <n v="4365"/>
    <n v="135"/>
    <n v="8"/>
    <n v="1288"/>
    <n v="1446"/>
    <d v="2025-03-28T00:00:00"/>
    <n v="3.0927835051546393E-2"/>
    <n v="5.9259259259259262E-2"/>
    <n v="-0.10926694329183956"/>
  </r>
  <r>
    <n v="618"/>
    <n v="22"/>
    <x v="1"/>
    <x v="0"/>
    <s v="CMP105"/>
    <x v="0"/>
    <n v="4213"/>
    <n v="80"/>
    <n v="15"/>
    <n v="2625"/>
    <n v="1525"/>
    <d v="2025-01-10T00:00:00"/>
    <n v="1.8988844054118204E-2"/>
    <n v="0.1875"/>
    <n v="0.72131147540983609"/>
  </r>
  <r>
    <n v="619"/>
    <n v="40"/>
    <x v="1"/>
    <x v="1"/>
    <s v="CMP100"/>
    <x v="3"/>
    <n v="1947"/>
    <n v="177"/>
    <n v="28"/>
    <n v="3444"/>
    <n v="1578"/>
    <d v="2025-03-06T00:00:00"/>
    <n v="9.0909090909090912E-2"/>
    <n v="0.15819209039548024"/>
    <n v="1.1825095057034221"/>
  </r>
  <r>
    <n v="620"/>
    <n v="51"/>
    <x v="1"/>
    <x v="2"/>
    <s v="CMP108"/>
    <x v="0"/>
    <n v="3818"/>
    <n v="272"/>
    <n v="61"/>
    <n v="11285"/>
    <n v="1662"/>
    <d v="2025-01-22T00:00:00"/>
    <n v="7.1241487689889998E-2"/>
    <n v="0.22426470588235295"/>
    <n v="5.7900120336943441"/>
  </r>
  <r>
    <n v="621"/>
    <n v="32"/>
    <x v="0"/>
    <x v="0"/>
    <s v="CMP106"/>
    <x v="1"/>
    <n v="1187"/>
    <n v="67"/>
    <n v="44"/>
    <n v="8140"/>
    <n v="1622"/>
    <d v="2025-02-08T00:00:00"/>
    <n v="5.6444818871103621E-2"/>
    <n v="0.65671641791044777"/>
    <n v="4.018495684340321"/>
  </r>
  <r>
    <n v="622"/>
    <n v="43"/>
    <x v="1"/>
    <x v="3"/>
    <s v="CMP104"/>
    <x v="3"/>
    <n v="3396"/>
    <n v="81"/>
    <n v="13"/>
    <n v="1287"/>
    <n v="239"/>
    <d v="2025-03-23T00:00:00"/>
    <n v="2.3851590106007067E-2"/>
    <n v="0.16049382716049382"/>
    <n v="4.3849372384937242"/>
  </r>
  <r>
    <n v="623"/>
    <n v="36"/>
    <x v="1"/>
    <x v="0"/>
    <s v="CMP106"/>
    <x v="0"/>
    <n v="1344"/>
    <n v="257"/>
    <n v="77"/>
    <n v="11935"/>
    <n v="646"/>
    <d v="2025-04-09T00:00:00"/>
    <n v="0.19122023809523808"/>
    <n v="0.29961089494163423"/>
    <n v="17.475232198142415"/>
  </r>
  <r>
    <n v="624"/>
    <n v="21"/>
    <x v="1"/>
    <x v="5"/>
    <s v="CMP108"/>
    <x v="3"/>
    <n v="4643"/>
    <n v="67"/>
    <n v="20"/>
    <n v="2360"/>
    <n v="1662"/>
    <d v="2025-04-06T00:00:00"/>
    <n v="1.4430325220762439E-2"/>
    <n v="0.29850746268656714"/>
    <n v="0.41997593261131166"/>
  </r>
  <r>
    <n v="625"/>
    <n v="43"/>
    <x v="1"/>
    <x v="5"/>
    <s v="CMP105"/>
    <x v="4"/>
    <n v="3377"/>
    <n v="446"/>
    <n v="10"/>
    <n v="1560"/>
    <n v="1178"/>
    <d v="2025-01-04T00:00:00"/>
    <n v="0.13206988451288126"/>
    <n v="2.2421524663677129E-2"/>
    <n v="0.32427843803056028"/>
  </r>
  <r>
    <n v="626"/>
    <n v="45"/>
    <x v="1"/>
    <x v="0"/>
    <s v="CMP104"/>
    <x v="1"/>
    <n v="2074"/>
    <n v="121"/>
    <n v="29"/>
    <n v="3219"/>
    <n v="1044"/>
    <d v="2025-04-04T00:00:00"/>
    <n v="5.8341369334619093E-2"/>
    <n v="0.23966942148760331"/>
    <n v="2.0833333333333335"/>
  </r>
  <r>
    <n v="627"/>
    <n v="25"/>
    <x v="0"/>
    <x v="4"/>
    <s v="CMP106"/>
    <x v="3"/>
    <n v="2166"/>
    <n v="286"/>
    <n v="26"/>
    <n v="3042"/>
    <n v="807"/>
    <d v="2025-03-13T00:00:00"/>
    <n v="0.13204062788550322"/>
    <n v="9.0909090909090912E-2"/>
    <n v="2.7695167286245352"/>
  </r>
  <r>
    <n v="628"/>
    <n v="20"/>
    <x v="1"/>
    <x v="5"/>
    <s v="CMP100"/>
    <x v="1"/>
    <n v="2553"/>
    <n v="255"/>
    <n v="36"/>
    <n v="3204"/>
    <n v="1834"/>
    <d v="2025-02-28T00:00:00"/>
    <n v="9.9882491186839006E-2"/>
    <n v="0.14117647058823529"/>
    <n v="0.74700109051254093"/>
  </r>
  <r>
    <n v="629"/>
    <n v="42"/>
    <x v="1"/>
    <x v="4"/>
    <s v="CMP108"/>
    <x v="0"/>
    <n v="848"/>
    <n v="304"/>
    <n v="73"/>
    <n v="9563"/>
    <n v="1925"/>
    <d v="2025-01-31T00:00:00"/>
    <n v="0.35849056603773582"/>
    <n v="0.24013157894736842"/>
    <n v="3.9677922077922076"/>
  </r>
  <r>
    <n v="630"/>
    <n v="37"/>
    <x v="1"/>
    <x v="4"/>
    <s v="CMP103"/>
    <x v="2"/>
    <n v="3309"/>
    <n v="133"/>
    <n v="26"/>
    <n v="2392"/>
    <n v="587"/>
    <d v="2025-03-18T00:00:00"/>
    <n v="4.0193411906920523E-2"/>
    <n v="0.19548872180451127"/>
    <n v="3.0749574105621806"/>
  </r>
  <r>
    <n v="631"/>
    <n v="32"/>
    <x v="0"/>
    <x v="5"/>
    <s v="CMP100"/>
    <x v="4"/>
    <n v="836"/>
    <n v="487"/>
    <n v="40"/>
    <n v="3200"/>
    <n v="680"/>
    <d v="2025-01-24T00:00:00"/>
    <n v="0.58253588516746413"/>
    <n v="8.2135523613963035E-2"/>
    <n v="3.7058823529411766"/>
  </r>
  <r>
    <n v="632"/>
    <n v="25"/>
    <x v="1"/>
    <x v="1"/>
    <s v="CMP109"/>
    <x v="1"/>
    <n v="3629"/>
    <n v="377"/>
    <n v="27"/>
    <n v="4077"/>
    <n v="1909"/>
    <d v="2025-04-21T00:00:00"/>
    <n v="0.10388536786993662"/>
    <n v="7.161803713527852E-2"/>
    <n v="1.1356731272917757"/>
  </r>
  <r>
    <n v="633"/>
    <n v="45"/>
    <x v="0"/>
    <x v="0"/>
    <s v="CMP108"/>
    <x v="2"/>
    <n v="3246"/>
    <n v="318"/>
    <n v="43"/>
    <n v="8256"/>
    <n v="1452"/>
    <d v="2025-03-02T00:00:00"/>
    <n v="9.7966728280961188E-2"/>
    <n v="0.13522012578616352"/>
    <n v="4.6859504132231402"/>
  </r>
  <r>
    <n v="634"/>
    <n v="34"/>
    <x v="1"/>
    <x v="2"/>
    <s v="CMP106"/>
    <x v="3"/>
    <n v="3843"/>
    <n v="424"/>
    <n v="6"/>
    <n v="966"/>
    <n v="957"/>
    <d v="2025-01-13T00:00:00"/>
    <n v="0.1103304709862087"/>
    <n v="1.4150943396226415E-2"/>
    <n v="9.4043887147335428E-3"/>
  </r>
  <r>
    <n v="635"/>
    <n v="47"/>
    <x v="1"/>
    <x v="0"/>
    <s v="CMP104"/>
    <x v="1"/>
    <n v="997"/>
    <n v="270"/>
    <n v="17"/>
    <n v="2788"/>
    <n v="1394"/>
    <d v="2025-04-22T00:00:00"/>
    <n v="0.27081243731193583"/>
    <n v="6.2962962962962957E-2"/>
    <n v="1"/>
  </r>
  <r>
    <n v="636"/>
    <n v="27"/>
    <x v="1"/>
    <x v="2"/>
    <s v="CMP104"/>
    <x v="1"/>
    <n v="3483"/>
    <n v="165"/>
    <n v="19"/>
    <n v="2489"/>
    <n v="1424"/>
    <d v="2025-03-28T00:00:00"/>
    <n v="4.7372954349698536E-2"/>
    <n v="0.11515151515151516"/>
    <n v="0.7478932584269663"/>
  </r>
  <r>
    <n v="637"/>
    <n v="26"/>
    <x v="0"/>
    <x v="4"/>
    <s v="CMP105"/>
    <x v="4"/>
    <n v="2931"/>
    <n v="229"/>
    <n v="34"/>
    <n v="4624"/>
    <n v="616"/>
    <d v="2025-04-21T00:00:00"/>
    <n v="7.8130330945069937E-2"/>
    <n v="0.14847161572052403"/>
    <n v="6.5064935064935066"/>
  </r>
  <r>
    <n v="638"/>
    <n v="26"/>
    <x v="0"/>
    <x v="0"/>
    <s v="CMP100"/>
    <x v="3"/>
    <n v="3572"/>
    <n v="93"/>
    <n v="79"/>
    <n v="12561"/>
    <n v="1321"/>
    <d v="2025-04-19T00:00:00"/>
    <n v="2.6035834266517358E-2"/>
    <n v="0.84946236559139787"/>
    <n v="8.5087055261165787"/>
  </r>
  <r>
    <n v="639"/>
    <n v="18"/>
    <x v="1"/>
    <x v="0"/>
    <s v="CMP107"/>
    <x v="2"/>
    <n v="3451"/>
    <n v="121"/>
    <n v="31"/>
    <n v="2821"/>
    <n v="1413"/>
    <d v="2025-02-11T00:00:00"/>
    <n v="3.5062300782381921E-2"/>
    <n v="0.256198347107438"/>
    <n v="0.99646142958244865"/>
  </r>
  <r>
    <n v="640"/>
    <n v="50"/>
    <x v="0"/>
    <x v="2"/>
    <s v="CMP109"/>
    <x v="2"/>
    <n v="1382"/>
    <n v="188"/>
    <n v="47"/>
    <n v="4512"/>
    <n v="1062"/>
    <d v="2025-04-03T00:00:00"/>
    <n v="0.13603473227206947"/>
    <n v="0.25"/>
    <n v="3.2485875706214689"/>
  </r>
  <r>
    <n v="641"/>
    <n v="23"/>
    <x v="0"/>
    <x v="2"/>
    <s v="CMP105"/>
    <x v="0"/>
    <n v="2248"/>
    <n v="390"/>
    <n v="44"/>
    <n v="5940"/>
    <n v="1630"/>
    <d v="2025-02-19T00:00:00"/>
    <n v="0.17348754448398576"/>
    <n v="0.11282051282051282"/>
    <n v="2.6441717791411041"/>
  </r>
  <r>
    <n v="642"/>
    <n v="52"/>
    <x v="1"/>
    <x v="0"/>
    <s v="CMP102"/>
    <x v="3"/>
    <n v="992"/>
    <n v="241"/>
    <n v="58"/>
    <n v="10672"/>
    <n v="1935"/>
    <d v="2025-01-11T00:00:00"/>
    <n v="0.24294354838709678"/>
    <n v="0.24066390041493776"/>
    <n v="4.5152454780361762"/>
  </r>
  <r>
    <n v="643"/>
    <n v="36"/>
    <x v="0"/>
    <x v="5"/>
    <s v="CMP106"/>
    <x v="4"/>
    <n v="1316"/>
    <n v="198"/>
    <n v="70"/>
    <n v="12810"/>
    <n v="1286"/>
    <d v="2025-01-28T00:00:00"/>
    <n v="0.15045592705167174"/>
    <n v="0.35353535353535354"/>
    <n v="8.9611197511664074"/>
  </r>
  <r>
    <n v="644"/>
    <n v="45"/>
    <x v="0"/>
    <x v="0"/>
    <s v="CMP101"/>
    <x v="1"/>
    <n v="2542"/>
    <n v="322"/>
    <n v="10"/>
    <n v="1350"/>
    <n v="1370"/>
    <d v="2025-02-07T00:00:00"/>
    <n v="0.12667191188040913"/>
    <n v="3.1055900621118012E-2"/>
    <n v="-1.4598540145985401E-2"/>
  </r>
  <r>
    <n v="645"/>
    <n v="53"/>
    <x v="0"/>
    <x v="5"/>
    <s v="CMP109"/>
    <x v="1"/>
    <n v="3690"/>
    <n v="342"/>
    <n v="72"/>
    <n v="12168"/>
    <n v="1949"/>
    <d v="2025-01-13T00:00:00"/>
    <n v="9.2682926829268292E-2"/>
    <n v="0.21052631578947367"/>
    <n v="5.2432016418676248"/>
  </r>
  <r>
    <n v="646"/>
    <n v="53"/>
    <x v="1"/>
    <x v="0"/>
    <s v="CMP106"/>
    <x v="1"/>
    <n v="807"/>
    <n v="107"/>
    <n v="36"/>
    <n v="6624"/>
    <n v="1176"/>
    <d v="2025-03-01T00:00:00"/>
    <n v="0.13258983890954151"/>
    <n v="0.3364485981308411"/>
    <n v="4.6326530612244898"/>
  </r>
  <r>
    <n v="647"/>
    <n v="45"/>
    <x v="1"/>
    <x v="5"/>
    <s v="CMP100"/>
    <x v="2"/>
    <n v="2017"/>
    <n v="132"/>
    <n v="62"/>
    <n v="11036"/>
    <n v="451"/>
    <d v="2025-02-11T00:00:00"/>
    <n v="6.5443728309370355E-2"/>
    <n v="0.46969696969696972"/>
    <n v="23.470066518847005"/>
  </r>
  <r>
    <n v="648"/>
    <n v="29"/>
    <x v="0"/>
    <x v="4"/>
    <s v="CMP107"/>
    <x v="2"/>
    <n v="4805"/>
    <n v="353"/>
    <n v="44"/>
    <n v="6248"/>
    <n v="808"/>
    <d v="2025-03-29T00:00:00"/>
    <n v="7.3465140478668048E-2"/>
    <n v="0.12464589235127478"/>
    <n v="6.7326732673267324"/>
  </r>
  <r>
    <n v="649"/>
    <n v="29"/>
    <x v="1"/>
    <x v="1"/>
    <s v="CMP107"/>
    <x v="1"/>
    <n v="4505"/>
    <n v="460"/>
    <n v="13"/>
    <n v="1235"/>
    <n v="566"/>
    <d v="2025-04-29T00:00:00"/>
    <n v="0.10210876803551609"/>
    <n v="2.8260869565217391E-2"/>
    <n v="1.1819787985865724"/>
  </r>
  <r>
    <n v="650"/>
    <n v="26"/>
    <x v="0"/>
    <x v="4"/>
    <s v="CMP109"/>
    <x v="4"/>
    <n v="3296"/>
    <n v="74"/>
    <n v="38"/>
    <n v="3914"/>
    <n v="1802"/>
    <d v="2025-01-20T00:00:00"/>
    <n v="2.2451456310679612E-2"/>
    <n v="0.51351351351351349"/>
    <n v="1.172031076581576"/>
  </r>
  <r>
    <n v="651"/>
    <n v="20"/>
    <x v="1"/>
    <x v="3"/>
    <s v="CMP109"/>
    <x v="0"/>
    <n v="3581"/>
    <n v="260"/>
    <n v="71"/>
    <n v="5964"/>
    <n v="351"/>
    <d v="2025-01-27T00:00:00"/>
    <n v="7.2605417481150514E-2"/>
    <n v="0.27307692307692305"/>
    <n v="15.991452991452991"/>
  </r>
  <r>
    <n v="652"/>
    <n v="43"/>
    <x v="0"/>
    <x v="1"/>
    <s v="CMP101"/>
    <x v="0"/>
    <n v="3011"/>
    <n v="162"/>
    <n v="19"/>
    <n v="2945"/>
    <n v="1386"/>
    <d v="2025-03-28T00:00:00"/>
    <n v="5.3802723347725005E-2"/>
    <n v="0.11728395061728394"/>
    <n v="1.1248196248196247"/>
  </r>
  <r>
    <n v="653"/>
    <n v="40"/>
    <x v="0"/>
    <x v="3"/>
    <s v="CMP106"/>
    <x v="0"/>
    <n v="2898"/>
    <n v="483"/>
    <n v="16"/>
    <n v="1328"/>
    <n v="1694"/>
    <d v="2025-04-22T00:00:00"/>
    <n v="0.16666666666666666"/>
    <n v="3.3126293995859216E-2"/>
    <n v="-0.21605667060212513"/>
  </r>
  <r>
    <n v="654"/>
    <n v="38"/>
    <x v="1"/>
    <x v="0"/>
    <s v="CMP108"/>
    <x v="3"/>
    <n v="628"/>
    <n v="295"/>
    <n v="70"/>
    <n v="5740"/>
    <n v="869"/>
    <d v="2025-03-25T00:00:00"/>
    <n v="0.46974522292993631"/>
    <n v="0.23728813559322035"/>
    <n v="5.6052934407364789"/>
  </r>
  <r>
    <n v="655"/>
    <n v="32"/>
    <x v="0"/>
    <x v="1"/>
    <s v="CMP109"/>
    <x v="0"/>
    <n v="1127"/>
    <n v="263"/>
    <n v="66"/>
    <n v="12870"/>
    <n v="1704"/>
    <d v="2025-04-20T00:00:00"/>
    <n v="0.23336291038154391"/>
    <n v="0.2509505703422053"/>
    <n v="6.552816901408451"/>
  </r>
  <r>
    <n v="656"/>
    <n v="22"/>
    <x v="0"/>
    <x v="0"/>
    <s v="CMP105"/>
    <x v="4"/>
    <n v="1474"/>
    <n v="351"/>
    <n v="29"/>
    <n v="4843"/>
    <n v="988"/>
    <d v="2025-04-23T00:00:00"/>
    <n v="0.23812754409769335"/>
    <n v="8.2621082621082614E-2"/>
    <n v="3.9018218623481782"/>
  </r>
  <r>
    <n v="657"/>
    <n v="52"/>
    <x v="1"/>
    <x v="3"/>
    <s v="CMP105"/>
    <x v="4"/>
    <n v="1826"/>
    <n v="140"/>
    <n v="22"/>
    <n v="3762"/>
    <n v="860"/>
    <d v="2025-04-14T00:00:00"/>
    <n v="7.6670317634173049E-2"/>
    <n v="0.15714285714285714"/>
    <n v="3.3744186046511628"/>
  </r>
  <r>
    <n v="658"/>
    <n v="27"/>
    <x v="0"/>
    <x v="5"/>
    <s v="CMP108"/>
    <x v="4"/>
    <n v="2186"/>
    <n v="241"/>
    <n v="71"/>
    <n v="13703"/>
    <n v="1775"/>
    <d v="2025-02-21T00:00:00"/>
    <n v="0.11024702653247942"/>
    <n v="0.29460580912863071"/>
    <n v="6.72"/>
  </r>
  <r>
    <n v="659"/>
    <n v="22"/>
    <x v="1"/>
    <x v="1"/>
    <s v="CMP109"/>
    <x v="3"/>
    <n v="1508"/>
    <n v="249"/>
    <n v="79"/>
    <n v="11297"/>
    <n v="772"/>
    <d v="2025-04-19T00:00:00"/>
    <n v="0.16511936339522545"/>
    <n v="0.31726907630522089"/>
    <n v="13.633419689119171"/>
  </r>
  <r>
    <n v="660"/>
    <n v="46"/>
    <x v="0"/>
    <x v="5"/>
    <s v="CMP104"/>
    <x v="4"/>
    <n v="2216"/>
    <n v="360"/>
    <n v="41"/>
    <n v="5658"/>
    <n v="255"/>
    <d v="2025-03-14T00:00:00"/>
    <n v="0.16245487364620939"/>
    <n v="0.11388888888888889"/>
    <n v="21.188235294117646"/>
  </r>
  <r>
    <n v="661"/>
    <n v="47"/>
    <x v="0"/>
    <x v="3"/>
    <s v="CMP106"/>
    <x v="4"/>
    <n v="3299"/>
    <n v="51"/>
    <n v="69"/>
    <n v="9591"/>
    <n v="559"/>
    <d v="2025-03-31T00:00:00"/>
    <n v="1.5459230069718097E-2"/>
    <n v="1.3529411764705883"/>
    <n v="16.157423971377458"/>
  </r>
  <r>
    <n v="662"/>
    <n v="45"/>
    <x v="1"/>
    <x v="2"/>
    <s v="CMP109"/>
    <x v="2"/>
    <n v="3264"/>
    <n v="428"/>
    <n v="76"/>
    <n v="10640"/>
    <n v="1159"/>
    <d v="2025-04-04T00:00:00"/>
    <n v="0.13112745098039216"/>
    <n v="0.17757009345794392"/>
    <n v="8.1803278688524586"/>
  </r>
  <r>
    <n v="663"/>
    <n v="51"/>
    <x v="0"/>
    <x v="4"/>
    <s v="CMP106"/>
    <x v="1"/>
    <n v="3004"/>
    <n v="152"/>
    <n v="62"/>
    <n v="11780"/>
    <n v="1919"/>
    <d v="2025-01-31T00:00:00"/>
    <n v="5.0599201065246339E-2"/>
    <n v="0.40789473684210525"/>
    <n v="5.1386138613861387"/>
  </r>
  <r>
    <n v="664"/>
    <n v="54"/>
    <x v="1"/>
    <x v="1"/>
    <s v="CMP100"/>
    <x v="2"/>
    <n v="2087"/>
    <n v="394"/>
    <n v="5"/>
    <n v="505"/>
    <n v="1662"/>
    <d v="2025-03-06T00:00:00"/>
    <n v="0.18878773358888357"/>
    <n v="1.2690355329949238E-2"/>
    <n v="-0.6961492178098676"/>
  </r>
  <r>
    <n v="665"/>
    <n v="34"/>
    <x v="1"/>
    <x v="2"/>
    <s v="CMP105"/>
    <x v="3"/>
    <n v="3762"/>
    <n v="231"/>
    <n v="46"/>
    <n v="7268"/>
    <n v="604"/>
    <d v="2025-02-07T00:00:00"/>
    <n v="6.1403508771929821E-2"/>
    <n v="0.19913419913419914"/>
    <n v="11.033112582781458"/>
  </r>
  <r>
    <n v="666"/>
    <n v="34"/>
    <x v="0"/>
    <x v="0"/>
    <s v="CMP100"/>
    <x v="4"/>
    <n v="3158"/>
    <n v="257"/>
    <n v="12"/>
    <n v="1512"/>
    <n v="901"/>
    <d v="2025-04-28T00:00:00"/>
    <n v="8.1380620645978466E-2"/>
    <n v="4.6692607003891051E-2"/>
    <n v="0.67813540510543835"/>
  </r>
  <r>
    <n v="667"/>
    <n v="31"/>
    <x v="1"/>
    <x v="0"/>
    <s v="CMP105"/>
    <x v="2"/>
    <n v="3149"/>
    <n v="190"/>
    <n v="21"/>
    <n v="3360"/>
    <n v="365"/>
    <d v="2025-02-04T00:00:00"/>
    <n v="6.0336614798348683E-2"/>
    <n v="0.11052631578947368"/>
    <n v="8.205479452054794"/>
  </r>
  <r>
    <n v="668"/>
    <n v="44"/>
    <x v="0"/>
    <x v="1"/>
    <s v="CMP100"/>
    <x v="4"/>
    <n v="1762"/>
    <n v="121"/>
    <n v="65"/>
    <n v="8645"/>
    <n v="854"/>
    <d v="2025-01-31T00:00:00"/>
    <n v="6.8671963677639045E-2"/>
    <n v="0.53719008264462809"/>
    <n v="9.1229508196721305"/>
  </r>
  <r>
    <n v="669"/>
    <n v="39"/>
    <x v="0"/>
    <x v="2"/>
    <s v="CMP109"/>
    <x v="0"/>
    <n v="1768"/>
    <n v="212"/>
    <n v="64"/>
    <n v="9472"/>
    <n v="205"/>
    <d v="2025-02-18T00:00:00"/>
    <n v="0.11990950226244344"/>
    <n v="0.30188679245283018"/>
    <n v="45.204878048780486"/>
  </r>
  <r>
    <n v="670"/>
    <n v="22"/>
    <x v="1"/>
    <x v="2"/>
    <s v="CMP109"/>
    <x v="0"/>
    <n v="906"/>
    <n v="266"/>
    <n v="38"/>
    <n v="4788"/>
    <n v="225"/>
    <d v="2025-01-20T00:00:00"/>
    <n v="0.29359823399558499"/>
    <n v="0.14285714285714285"/>
    <n v="20.28"/>
  </r>
  <r>
    <n v="671"/>
    <n v="35"/>
    <x v="0"/>
    <x v="5"/>
    <s v="CMP103"/>
    <x v="2"/>
    <n v="4985"/>
    <n v="247"/>
    <n v="63"/>
    <n v="12159"/>
    <n v="1671"/>
    <d v="2025-01-17T00:00:00"/>
    <n v="4.954864593781344E-2"/>
    <n v="0.25506072874493929"/>
    <n v="6.2764811490125672"/>
  </r>
  <r>
    <n v="672"/>
    <n v="32"/>
    <x v="1"/>
    <x v="3"/>
    <s v="CMP102"/>
    <x v="2"/>
    <n v="1985"/>
    <n v="62"/>
    <n v="11"/>
    <n v="1353"/>
    <n v="583"/>
    <d v="2025-03-04T00:00:00"/>
    <n v="3.1234256926952142E-2"/>
    <n v="0.17741935483870969"/>
    <n v="1.320754716981132"/>
  </r>
  <r>
    <n v="673"/>
    <n v="49"/>
    <x v="1"/>
    <x v="5"/>
    <s v="CMP109"/>
    <x v="2"/>
    <n v="1503"/>
    <n v="468"/>
    <n v="39"/>
    <n v="4446"/>
    <n v="1835"/>
    <d v="2025-02-17T00:00:00"/>
    <n v="0.31137724550898205"/>
    <n v="8.3333333333333329E-2"/>
    <n v="1.4228882833787466"/>
  </r>
  <r>
    <n v="674"/>
    <n v="24"/>
    <x v="0"/>
    <x v="1"/>
    <s v="CMP101"/>
    <x v="3"/>
    <n v="2591"/>
    <n v="409"/>
    <n v="28"/>
    <n v="2688"/>
    <n v="1540"/>
    <d v="2025-03-06T00:00:00"/>
    <n v="0.15785411038209185"/>
    <n v="6.8459657701711488E-2"/>
    <n v="0.74545454545454548"/>
  </r>
  <r>
    <n v="675"/>
    <n v="31"/>
    <x v="1"/>
    <x v="5"/>
    <s v="CMP104"/>
    <x v="0"/>
    <n v="2902"/>
    <n v="337"/>
    <n v="40"/>
    <n v="5960"/>
    <n v="1364"/>
    <d v="2025-04-22T00:00:00"/>
    <n v="0.11612680909717436"/>
    <n v="0.11869436201780416"/>
    <n v="3.3695014662756599"/>
  </r>
  <r>
    <n v="676"/>
    <n v="33"/>
    <x v="0"/>
    <x v="5"/>
    <s v="CMP103"/>
    <x v="2"/>
    <n v="4407"/>
    <n v="345"/>
    <n v="63"/>
    <n v="10773"/>
    <n v="1943"/>
    <d v="2025-02-14T00:00:00"/>
    <n v="7.8284547311095978E-2"/>
    <n v="0.18260869565217391"/>
    <n v="4.5445187853834277"/>
  </r>
  <r>
    <n v="677"/>
    <n v="25"/>
    <x v="0"/>
    <x v="5"/>
    <s v="CMP107"/>
    <x v="2"/>
    <n v="1807"/>
    <n v="401"/>
    <n v="70"/>
    <n v="5740"/>
    <n v="1510"/>
    <d v="2025-01-15T00:00:00"/>
    <n v="0.2219147758716104"/>
    <n v="0.1745635910224439"/>
    <n v="2.8013245033112582"/>
  </r>
  <r>
    <n v="678"/>
    <n v="19"/>
    <x v="1"/>
    <x v="1"/>
    <s v="CMP107"/>
    <x v="1"/>
    <n v="4766"/>
    <n v="208"/>
    <n v="77"/>
    <n v="9548"/>
    <n v="1710"/>
    <d v="2025-03-12T00:00:00"/>
    <n v="4.3642467477968946E-2"/>
    <n v="0.37019230769230771"/>
    <n v="4.5836257309941519"/>
  </r>
  <r>
    <n v="679"/>
    <n v="47"/>
    <x v="0"/>
    <x v="1"/>
    <s v="CMP109"/>
    <x v="0"/>
    <n v="4075"/>
    <n v="413"/>
    <n v="61"/>
    <n v="10858"/>
    <n v="1175"/>
    <d v="2025-04-12T00:00:00"/>
    <n v="0.10134969325153374"/>
    <n v="0.14769975786924938"/>
    <n v="8.2408510638297869"/>
  </r>
  <r>
    <n v="680"/>
    <n v="51"/>
    <x v="1"/>
    <x v="3"/>
    <s v="CMP106"/>
    <x v="3"/>
    <n v="1157"/>
    <n v="419"/>
    <n v="73"/>
    <n v="8614"/>
    <n v="932"/>
    <d v="2025-03-10T00:00:00"/>
    <n v="0.36214347450302509"/>
    <n v="0.17422434367541767"/>
    <n v="8.2424892703862653"/>
  </r>
  <r>
    <n v="681"/>
    <n v="21"/>
    <x v="0"/>
    <x v="3"/>
    <s v="CMP106"/>
    <x v="3"/>
    <n v="2897"/>
    <n v="439"/>
    <n v="60"/>
    <n v="11340"/>
    <n v="1857"/>
    <d v="2025-01-06T00:00:00"/>
    <n v="0.15153607179841216"/>
    <n v="0.1366742596810934"/>
    <n v="5.1066235864297251"/>
  </r>
  <r>
    <n v="682"/>
    <n v="26"/>
    <x v="1"/>
    <x v="0"/>
    <s v="CMP104"/>
    <x v="4"/>
    <n v="787"/>
    <n v="155"/>
    <n v="22"/>
    <n v="3850"/>
    <n v="1647"/>
    <d v="2025-03-15T00:00:00"/>
    <n v="0.19695044472681067"/>
    <n v="0.14193548387096774"/>
    <n v="1.3375834851244688"/>
  </r>
  <r>
    <n v="683"/>
    <n v="28"/>
    <x v="1"/>
    <x v="1"/>
    <s v="CMP100"/>
    <x v="4"/>
    <n v="1735"/>
    <n v="55"/>
    <n v="67"/>
    <n v="12395"/>
    <n v="1034"/>
    <d v="2025-04-06T00:00:00"/>
    <n v="3.1700288184438041E-2"/>
    <n v="1.2181818181818183"/>
    <n v="10.987427466150871"/>
  </r>
  <r>
    <n v="684"/>
    <n v="49"/>
    <x v="1"/>
    <x v="0"/>
    <s v="CMP105"/>
    <x v="0"/>
    <n v="1975"/>
    <n v="386"/>
    <n v="45"/>
    <n v="3780"/>
    <n v="1178"/>
    <d v="2025-04-30T00:00:00"/>
    <n v="0.19544303797468354"/>
    <n v="0.11658031088082901"/>
    <n v="2.2088285229202036"/>
  </r>
  <r>
    <n v="685"/>
    <n v="39"/>
    <x v="1"/>
    <x v="4"/>
    <s v="CMP106"/>
    <x v="1"/>
    <n v="3001"/>
    <n v="340"/>
    <n v="26"/>
    <n v="4238"/>
    <n v="1416"/>
    <d v="2025-01-11T00:00:00"/>
    <n v="0.11329556814395202"/>
    <n v="7.6470588235294124E-2"/>
    <n v="1.9929378531073447"/>
  </r>
  <r>
    <n v="686"/>
    <n v="29"/>
    <x v="0"/>
    <x v="3"/>
    <s v="CMP106"/>
    <x v="2"/>
    <n v="1472"/>
    <n v="300"/>
    <n v="7"/>
    <n v="973"/>
    <n v="1616"/>
    <d v="2025-01-14T00:00:00"/>
    <n v="0.20380434782608695"/>
    <n v="2.3333333333333334E-2"/>
    <n v="-0.39789603960396042"/>
  </r>
  <r>
    <n v="687"/>
    <n v="22"/>
    <x v="0"/>
    <x v="1"/>
    <s v="CMP103"/>
    <x v="0"/>
    <n v="724"/>
    <n v="67"/>
    <n v="77"/>
    <n v="12474"/>
    <n v="913"/>
    <d v="2025-03-28T00:00:00"/>
    <n v="9.2541436464088397E-2"/>
    <n v="1.1492537313432836"/>
    <n v="12.662650602409638"/>
  </r>
  <r>
    <n v="688"/>
    <n v="42"/>
    <x v="0"/>
    <x v="1"/>
    <s v="CMP109"/>
    <x v="2"/>
    <n v="4625"/>
    <n v="330"/>
    <n v="32"/>
    <n v="6368"/>
    <n v="1460"/>
    <d v="2025-03-19T00:00:00"/>
    <n v="7.1351351351351358E-2"/>
    <n v="9.696969696969697E-2"/>
    <n v="3.3616438356164382"/>
  </r>
  <r>
    <n v="689"/>
    <n v="52"/>
    <x v="0"/>
    <x v="0"/>
    <s v="CMP103"/>
    <x v="4"/>
    <n v="4061"/>
    <n v="363"/>
    <n v="45"/>
    <n v="7065"/>
    <n v="1248"/>
    <d v="2025-02-17T00:00:00"/>
    <n v="8.9386850529426243E-2"/>
    <n v="0.12396694214876033"/>
    <n v="4.6610576923076925"/>
  </r>
  <r>
    <n v="690"/>
    <n v="38"/>
    <x v="0"/>
    <x v="3"/>
    <s v="CMP105"/>
    <x v="3"/>
    <n v="2301"/>
    <n v="148"/>
    <n v="79"/>
    <n v="12956"/>
    <n v="1746"/>
    <d v="2025-02-14T00:00:00"/>
    <n v="6.431986093003042E-2"/>
    <n v="0.53378378378378377"/>
    <n v="6.4203894616265753"/>
  </r>
  <r>
    <n v="691"/>
    <n v="19"/>
    <x v="1"/>
    <x v="2"/>
    <s v="CMP108"/>
    <x v="4"/>
    <n v="3450"/>
    <n v="258"/>
    <n v="68"/>
    <n v="9724"/>
    <n v="1093"/>
    <d v="2025-02-11T00:00:00"/>
    <n v="7.4782608695652175E-2"/>
    <n v="0.26356589147286824"/>
    <n v="7.8966148215919487"/>
  </r>
  <r>
    <n v="692"/>
    <n v="35"/>
    <x v="1"/>
    <x v="1"/>
    <s v="CMP102"/>
    <x v="4"/>
    <n v="1477"/>
    <n v="103"/>
    <n v="79"/>
    <n v="15168"/>
    <n v="983"/>
    <d v="2025-04-27T00:00:00"/>
    <n v="6.9735951252538925E-2"/>
    <n v="0.76699029126213591"/>
    <n v="14.430315361139369"/>
  </r>
  <r>
    <n v="693"/>
    <n v="29"/>
    <x v="1"/>
    <x v="0"/>
    <s v="CMP103"/>
    <x v="4"/>
    <n v="686"/>
    <n v="395"/>
    <n v="20"/>
    <n v="2720"/>
    <n v="461"/>
    <d v="2025-04-13T00:00:00"/>
    <n v="0.57580174927113703"/>
    <n v="5.0632911392405063E-2"/>
    <n v="4.9002169197396963"/>
  </r>
  <r>
    <n v="694"/>
    <n v="29"/>
    <x v="0"/>
    <x v="3"/>
    <s v="CMP100"/>
    <x v="0"/>
    <n v="2830"/>
    <n v="128"/>
    <n v="76"/>
    <n v="10792"/>
    <n v="1486"/>
    <d v="2025-03-04T00:00:00"/>
    <n v="4.5229681978798585E-2"/>
    <n v="0.59375"/>
    <n v="6.2624495289367426"/>
  </r>
  <r>
    <n v="695"/>
    <n v="22"/>
    <x v="0"/>
    <x v="0"/>
    <s v="CMP109"/>
    <x v="3"/>
    <n v="4848"/>
    <n v="425"/>
    <n v="40"/>
    <n v="3480"/>
    <n v="1180"/>
    <d v="2025-03-21T00:00:00"/>
    <n v="8.7665016501650164E-2"/>
    <n v="9.4117647058823528E-2"/>
    <n v="1.9491525423728813"/>
  </r>
  <r>
    <n v="696"/>
    <n v="47"/>
    <x v="1"/>
    <x v="5"/>
    <s v="CMP106"/>
    <x v="1"/>
    <n v="3351"/>
    <n v="333"/>
    <n v="51"/>
    <n v="9180"/>
    <n v="275"/>
    <d v="2025-01-16T00:00:00"/>
    <n v="9.9373321396598033E-2"/>
    <n v="0.15315315315315314"/>
    <n v="32.381818181818183"/>
  </r>
  <r>
    <n v="697"/>
    <n v="46"/>
    <x v="1"/>
    <x v="0"/>
    <s v="CMP102"/>
    <x v="4"/>
    <n v="1469"/>
    <n v="120"/>
    <n v="56"/>
    <n v="6496"/>
    <n v="1347"/>
    <d v="2025-01-15T00:00:00"/>
    <n v="8.168822328114364E-2"/>
    <n v="0.46666666666666667"/>
    <n v="3.8225686711210098"/>
  </r>
  <r>
    <n v="698"/>
    <n v="30"/>
    <x v="1"/>
    <x v="2"/>
    <s v="CMP109"/>
    <x v="3"/>
    <n v="4823"/>
    <n v="480"/>
    <n v="50"/>
    <n v="4900"/>
    <n v="1659"/>
    <d v="2025-01-21T00:00:00"/>
    <n v="9.9523118391042914E-2"/>
    <n v="0.10416666666666667"/>
    <n v="1.9535864978902953"/>
  </r>
  <r>
    <n v="699"/>
    <n v="46"/>
    <x v="1"/>
    <x v="2"/>
    <s v="CMP103"/>
    <x v="4"/>
    <n v="4659"/>
    <n v="214"/>
    <n v="31"/>
    <n v="6045"/>
    <n v="1534"/>
    <d v="2025-01-25T00:00:00"/>
    <n v="4.5932603562996353E-2"/>
    <n v="0.14485981308411214"/>
    <n v="2.9406779661016951"/>
  </r>
  <r>
    <n v="700"/>
    <n v="35"/>
    <x v="1"/>
    <x v="5"/>
    <s v="CMP104"/>
    <x v="4"/>
    <n v="1687"/>
    <n v="435"/>
    <n v="26"/>
    <n v="2470"/>
    <n v="423"/>
    <d v="2025-02-23T00:00:00"/>
    <n v="0.25785417901600477"/>
    <n v="5.9770114942528735E-2"/>
    <n v="4.8392434988179671"/>
  </r>
  <r>
    <n v="701"/>
    <n v="30"/>
    <x v="0"/>
    <x v="5"/>
    <s v="CMP105"/>
    <x v="1"/>
    <n v="4439"/>
    <n v="79"/>
    <n v="49"/>
    <n v="5537"/>
    <n v="670"/>
    <d v="2025-04-03T00:00:00"/>
    <n v="1.7796801081324622E-2"/>
    <n v="0.620253164556962"/>
    <n v="7.2641791044776118"/>
  </r>
  <r>
    <n v="702"/>
    <n v="26"/>
    <x v="0"/>
    <x v="3"/>
    <s v="CMP106"/>
    <x v="0"/>
    <n v="3081"/>
    <n v="229"/>
    <n v="56"/>
    <n v="6440"/>
    <n v="1590"/>
    <d v="2025-04-25T00:00:00"/>
    <n v="7.4326517364492042E-2"/>
    <n v="0.24454148471615719"/>
    <n v="3.050314465408805"/>
  </r>
  <r>
    <n v="703"/>
    <n v="21"/>
    <x v="0"/>
    <x v="5"/>
    <s v="CMP101"/>
    <x v="4"/>
    <n v="3906"/>
    <n v="490"/>
    <n v="24"/>
    <n v="2664"/>
    <n v="1232"/>
    <d v="2025-03-23T00:00:00"/>
    <n v="0.12544802867383512"/>
    <n v="4.8979591836734691E-2"/>
    <n v="1.1623376623376624"/>
  </r>
  <r>
    <n v="704"/>
    <n v="21"/>
    <x v="1"/>
    <x v="1"/>
    <s v="CMP101"/>
    <x v="1"/>
    <n v="4088"/>
    <n v="453"/>
    <n v="79"/>
    <n v="7979"/>
    <n v="1900"/>
    <d v="2025-03-18T00:00:00"/>
    <n v="0.11081213307240705"/>
    <n v="0.17439293598233996"/>
    <n v="3.1994736842105262"/>
  </r>
  <r>
    <n v="705"/>
    <n v="48"/>
    <x v="0"/>
    <x v="4"/>
    <s v="CMP102"/>
    <x v="3"/>
    <n v="2682"/>
    <n v="117"/>
    <n v="23"/>
    <n v="3979"/>
    <n v="689"/>
    <d v="2025-02-26T00:00:00"/>
    <n v="4.3624161073825503E-2"/>
    <n v="0.19658119658119658"/>
    <n v="4.7750362844702465"/>
  </r>
  <r>
    <n v="706"/>
    <n v="49"/>
    <x v="0"/>
    <x v="2"/>
    <s v="CMP101"/>
    <x v="2"/>
    <n v="2376"/>
    <n v="238"/>
    <n v="35"/>
    <n v="6090"/>
    <n v="1562"/>
    <d v="2025-02-28T00:00:00"/>
    <n v="0.10016835016835017"/>
    <n v="0.14705882352941177"/>
    <n v="2.8988476312419973"/>
  </r>
  <r>
    <n v="707"/>
    <n v="41"/>
    <x v="0"/>
    <x v="0"/>
    <s v="CMP100"/>
    <x v="2"/>
    <n v="2407"/>
    <n v="187"/>
    <n v="6"/>
    <n v="834"/>
    <n v="393"/>
    <d v="2025-04-06T00:00:00"/>
    <n v="7.7690070627336932E-2"/>
    <n v="3.2085561497326207E-2"/>
    <n v="1.1221374045801527"/>
  </r>
  <r>
    <n v="708"/>
    <n v="48"/>
    <x v="0"/>
    <x v="0"/>
    <s v="CMP107"/>
    <x v="3"/>
    <n v="643"/>
    <n v="65"/>
    <n v="50"/>
    <n v="9800"/>
    <n v="622"/>
    <d v="2025-01-01T00:00:00"/>
    <n v="0.10108864696734059"/>
    <n v="0.76923076923076927"/>
    <n v="14.755627009646302"/>
  </r>
  <r>
    <n v="709"/>
    <n v="29"/>
    <x v="0"/>
    <x v="3"/>
    <s v="CMP100"/>
    <x v="2"/>
    <n v="1386"/>
    <n v="390"/>
    <n v="8"/>
    <n v="840"/>
    <n v="1550"/>
    <d v="2025-04-07T00:00:00"/>
    <n v="0.2813852813852814"/>
    <n v="2.0512820512820513E-2"/>
    <n v="-0.45806451612903226"/>
  </r>
  <r>
    <n v="710"/>
    <n v="24"/>
    <x v="1"/>
    <x v="4"/>
    <s v="CMP101"/>
    <x v="2"/>
    <n v="4542"/>
    <n v="397"/>
    <n v="69"/>
    <n v="11799"/>
    <n v="758"/>
    <d v="2025-04-16T00:00:00"/>
    <n v="8.7406428885953319E-2"/>
    <n v="0.17380352644836272"/>
    <n v="14.565963060686016"/>
  </r>
  <r>
    <n v="711"/>
    <n v="28"/>
    <x v="1"/>
    <x v="4"/>
    <s v="CMP102"/>
    <x v="2"/>
    <n v="1631"/>
    <n v="68"/>
    <n v="30"/>
    <n v="3870"/>
    <n v="1519"/>
    <d v="2025-01-12T00:00:00"/>
    <n v="4.1692213366033105E-2"/>
    <n v="0.44117647058823528"/>
    <n v="1.5477287689269257"/>
  </r>
  <r>
    <n v="712"/>
    <n v="33"/>
    <x v="1"/>
    <x v="2"/>
    <s v="CMP101"/>
    <x v="3"/>
    <n v="694"/>
    <n v="332"/>
    <n v="58"/>
    <n v="7424"/>
    <n v="1161"/>
    <d v="2025-03-01T00:00:00"/>
    <n v="0.47838616714697407"/>
    <n v="0.1746987951807229"/>
    <n v="5.3944875107665808"/>
  </r>
  <r>
    <n v="713"/>
    <n v="50"/>
    <x v="1"/>
    <x v="2"/>
    <s v="CMP107"/>
    <x v="1"/>
    <n v="2577"/>
    <n v="133"/>
    <n v="42"/>
    <n v="3738"/>
    <n v="1319"/>
    <d v="2025-04-15T00:00:00"/>
    <n v="5.1610399689561506E-2"/>
    <n v="0.31578947368421051"/>
    <n v="1.8339651250947688"/>
  </r>
  <r>
    <n v="714"/>
    <n v="33"/>
    <x v="0"/>
    <x v="1"/>
    <s v="CMP105"/>
    <x v="0"/>
    <n v="1897"/>
    <n v="91"/>
    <n v="51"/>
    <n v="10047"/>
    <n v="620"/>
    <d v="2025-02-26T00:00:00"/>
    <n v="4.797047970479705E-2"/>
    <n v="0.56043956043956045"/>
    <n v="15.20483870967742"/>
  </r>
  <r>
    <n v="715"/>
    <n v="49"/>
    <x v="0"/>
    <x v="1"/>
    <s v="CMP109"/>
    <x v="2"/>
    <n v="2910"/>
    <n v="332"/>
    <n v="45"/>
    <n v="5085"/>
    <n v="535"/>
    <d v="2025-03-30T00:00:00"/>
    <n v="0.1140893470790378"/>
    <n v="0.13554216867469879"/>
    <n v="8.5046728971962615"/>
  </r>
  <r>
    <n v="716"/>
    <n v="37"/>
    <x v="1"/>
    <x v="0"/>
    <s v="CMP106"/>
    <x v="3"/>
    <n v="2381"/>
    <n v="250"/>
    <n v="14"/>
    <n v="2478"/>
    <n v="704"/>
    <d v="2025-03-01T00:00:00"/>
    <n v="0.10499790004199916"/>
    <n v="5.6000000000000001E-2"/>
    <n v="2.5198863636363638"/>
  </r>
  <r>
    <n v="717"/>
    <n v="44"/>
    <x v="0"/>
    <x v="4"/>
    <s v="CMP101"/>
    <x v="3"/>
    <n v="4916"/>
    <n v="484"/>
    <n v="40"/>
    <n v="7880"/>
    <n v="1631"/>
    <d v="2025-01-31T00:00:00"/>
    <n v="9.8454027664768101E-2"/>
    <n v="8.2644628099173556E-2"/>
    <n v="3.8313917841814837"/>
  </r>
  <r>
    <n v="718"/>
    <n v="41"/>
    <x v="1"/>
    <x v="2"/>
    <s v="CMP104"/>
    <x v="4"/>
    <n v="1026"/>
    <n v="61"/>
    <n v="32"/>
    <n v="5824"/>
    <n v="1563"/>
    <d v="2025-01-10T00:00:00"/>
    <n v="5.9454191033138398E-2"/>
    <n v="0.52459016393442626"/>
    <n v="2.7261676263595649"/>
  </r>
  <r>
    <n v="719"/>
    <n v="51"/>
    <x v="0"/>
    <x v="5"/>
    <s v="CMP109"/>
    <x v="4"/>
    <n v="3169"/>
    <n v="383"/>
    <n v="22"/>
    <n v="2046"/>
    <n v="1951"/>
    <d v="2025-03-17T00:00:00"/>
    <n v="0.12085831492584412"/>
    <n v="5.7441253263707574E-2"/>
    <n v="4.8692977960020499E-2"/>
  </r>
  <r>
    <n v="720"/>
    <n v="33"/>
    <x v="0"/>
    <x v="0"/>
    <s v="CMP103"/>
    <x v="1"/>
    <n v="4631"/>
    <n v="222"/>
    <n v="40"/>
    <n v="6280"/>
    <n v="1245"/>
    <d v="2025-02-25T00:00:00"/>
    <n v="4.7937810408119196E-2"/>
    <n v="0.18018018018018017"/>
    <n v="4.0441767068273089"/>
  </r>
  <r>
    <n v="721"/>
    <n v="37"/>
    <x v="1"/>
    <x v="2"/>
    <s v="CMP101"/>
    <x v="4"/>
    <n v="3276"/>
    <n v="145"/>
    <n v="37"/>
    <n v="4255"/>
    <n v="1140"/>
    <d v="2025-02-07T00:00:00"/>
    <n v="4.4261294261294264E-2"/>
    <n v="0.25517241379310346"/>
    <n v="2.7324561403508771"/>
  </r>
  <r>
    <n v="722"/>
    <n v="21"/>
    <x v="0"/>
    <x v="2"/>
    <s v="CMP104"/>
    <x v="4"/>
    <n v="694"/>
    <n v="200"/>
    <n v="20"/>
    <n v="2960"/>
    <n v="898"/>
    <d v="2025-04-14T00:00:00"/>
    <n v="0.28818443804034583"/>
    <n v="0.1"/>
    <n v="2.2962138084632517"/>
  </r>
  <r>
    <n v="723"/>
    <n v="34"/>
    <x v="1"/>
    <x v="3"/>
    <s v="CMP106"/>
    <x v="2"/>
    <n v="4314"/>
    <n v="255"/>
    <n v="74"/>
    <n v="7030"/>
    <n v="595"/>
    <d v="2025-01-14T00:00:00"/>
    <n v="5.9109874826147428E-2"/>
    <n v="0.29019607843137257"/>
    <n v="10.815126050420169"/>
  </r>
  <r>
    <n v="724"/>
    <n v="34"/>
    <x v="0"/>
    <x v="2"/>
    <s v="CMP108"/>
    <x v="3"/>
    <n v="2864"/>
    <n v="248"/>
    <n v="50"/>
    <n v="6150"/>
    <n v="1750"/>
    <d v="2025-02-23T00:00:00"/>
    <n v="8.6592178770949726E-2"/>
    <n v="0.20161290322580644"/>
    <n v="2.5142857142857142"/>
  </r>
  <r>
    <n v="725"/>
    <n v="31"/>
    <x v="1"/>
    <x v="2"/>
    <s v="CMP100"/>
    <x v="1"/>
    <n v="1109"/>
    <n v="310"/>
    <n v="31"/>
    <n v="5146"/>
    <n v="571"/>
    <d v="2025-04-27T00:00:00"/>
    <n v="0.27953110910730389"/>
    <n v="0.1"/>
    <n v="8.0122591943957975"/>
  </r>
  <r>
    <n v="726"/>
    <n v="49"/>
    <x v="0"/>
    <x v="0"/>
    <s v="CMP107"/>
    <x v="1"/>
    <n v="1284"/>
    <n v="132"/>
    <n v="58"/>
    <n v="9628"/>
    <n v="389"/>
    <d v="2025-01-13T00:00:00"/>
    <n v="0.10280373831775701"/>
    <n v="0.43939393939393939"/>
    <n v="23.750642673521853"/>
  </r>
  <r>
    <n v="727"/>
    <n v="48"/>
    <x v="0"/>
    <x v="0"/>
    <s v="CMP105"/>
    <x v="1"/>
    <n v="2838"/>
    <n v="182"/>
    <n v="77"/>
    <n v="8008"/>
    <n v="525"/>
    <d v="2025-03-07T00:00:00"/>
    <n v="6.4129668780831567E-2"/>
    <n v="0.42307692307692307"/>
    <n v="14.253333333333334"/>
  </r>
  <r>
    <n v="728"/>
    <n v="37"/>
    <x v="1"/>
    <x v="4"/>
    <s v="CMP106"/>
    <x v="0"/>
    <n v="3278"/>
    <n v="138"/>
    <n v="76"/>
    <n v="6080"/>
    <n v="1470"/>
    <d v="2025-04-06T00:00:00"/>
    <n v="4.2098840756558877E-2"/>
    <n v="0.55072463768115942"/>
    <n v="3.1360544217687076"/>
  </r>
  <r>
    <n v="729"/>
    <n v="33"/>
    <x v="0"/>
    <x v="2"/>
    <s v="CMP102"/>
    <x v="2"/>
    <n v="4578"/>
    <n v="103"/>
    <n v="79"/>
    <n v="13351"/>
    <n v="253"/>
    <d v="2025-01-20T00:00:00"/>
    <n v="2.2498907820008737E-2"/>
    <n v="0.76699029126213591"/>
    <n v="51.770750988142289"/>
  </r>
  <r>
    <n v="730"/>
    <n v="18"/>
    <x v="1"/>
    <x v="3"/>
    <s v="CMP100"/>
    <x v="4"/>
    <n v="2081"/>
    <n v="242"/>
    <n v="62"/>
    <n v="11780"/>
    <n v="1660"/>
    <d v="2025-03-07T00:00:00"/>
    <n v="0.11629024507448342"/>
    <n v="0.256198347107438"/>
    <n v="6.096385542168675"/>
  </r>
  <r>
    <n v="731"/>
    <n v="50"/>
    <x v="1"/>
    <x v="2"/>
    <s v="CMP102"/>
    <x v="3"/>
    <n v="4496"/>
    <n v="389"/>
    <n v="74"/>
    <n v="7992"/>
    <n v="207"/>
    <d v="2025-03-01T00:00:00"/>
    <n v="8.6521352313167266E-2"/>
    <n v="0.19023136246786632"/>
    <n v="37.608695652173914"/>
  </r>
  <r>
    <n v="732"/>
    <n v="21"/>
    <x v="1"/>
    <x v="2"/>
    <s v="CMP102"/>
    <x v="4"/>
    <n v="3256"/>
    <n v="413"/>
    <n v="24"/>
    <n v="2832"/>
    <n v="1296"/>
    <d v="2025-04-28T00:00:00"/>
    <n v="0.12684275184275184"/>
    <n v="5.8111380145278453E-2"/>
    <n v="1.1851851851851851"/>
  </r>
  <r>
    <n v="733"/>
    <n v="39"/>
    <x v="1"/>
    <x v="4"/>
    <s v="CMP103"/>
    <x v="3"/>
    <n v="670"/>
    <n v="190"/>
    <n v="17"/>
    <n v="2312"/>
    <n v="387"/>
    <d v="2025-04-21T00:00:00"/>
    <n v="0.28358208955223879"/>
    <n v="8.9473684210526316E-2"/>
    <n v="4.9741602067183459"/>
  </r>
  <r>
    <n v="734"/>
    <n v="25"/>
    <x v="1"/>
    <x v="2"/>
    <s v="CMP109"/>
    <x v="2"/>
    <n v="2472"/>
    <n v="414"/>
    <n v="47"/>
    <n v="7097"/>
    <n v="410"/>
    <d v="2025-03-31T00:00:00"/>
    <n v="0.16747572815533981"/>
    <n v="0.11352657004830918"/>
    <n v="16.309756097560975"/>
  </r>
  <r>
    <n v="735"/>
    <n v="45"/>
    <x v="0"/>
    <x v="3"/>
    <s v="CMP108"/>
    <x v="2"/>
    <n v="4323"/>
    <n v="164"/>
    <n v="30"/>
    <n v="4680"/>
    <n v="498"/>
    <d v="2025-01-20T00:00:00"/>
    <n v="3.7936618089289845E-2"/>
    <n v="0.18292682926829268"/>
    <n v="8.3975903614457827"/>
  </r>
  <r>
    <n v="736"/>
    <n v="32"/>
    <x v="0"/>
    <x v="1"/>
    <s v="CMP106"/>
    <x v="0"/>
    <n v="4806"/>
    <n v="289"/>
    <n v="43"/>
    <n v="3913"/>
    <n v="634"/>
    <d v="2025-03-19T00:00:00"/>
    <n v="6.0133166874739907E-2"/>
    <n v="0.14878892733564014"/>
    <n v="5.1719242902208205"/>
  </r>
  <r>
    <n v="737"/>
    <n v="51"/>
    <x v="0"/>
    <x v="0"/>
    <s v="CMP102"/>
    <x v="3"/>
    <n v="2302"/>
    <n v="203"/>
    <n v="46"/>
    <n v="4140"/>
    <n v="610"/>
    <d v="2025-03-05T00:00:00"/>
    <n v="8.8184187662901828E-2"/>
    <n v="0.22660098522167488"/>
    <n v="5.7868852459016393"/>
  </r>
  <r>
    <n v="738"/>
    <n v="52"/>
    <x v="0"/>
    <x v="0"/>
    <s v="CMP107"/>
    <x v="2"/>
    <n v="3449"/>
    <n v="479"/>
    <n v="46"/>
    <n v="6624"/>
    <n v="1443"/>
    <d v="2025-03-13T00:00:00"/>
    <n v="0.13888083502464482"/>
    <n v="9.6033402922755737E-2"/>
    <n v="3.5904365904365902"/>
  </r>
  <r>
    <n v="739"/>
    <n v="28"/>
    <x v="1"/>
    <x v="0"/>
    <s v="CMP106"/>
    <x v="2"/>
    <n v="1966"/>
    <n v="101"/>
    <n v="51"/>
    <n v="4386"/>
    <n v="575"/>
    <d v="2025-03-02T00:00:00"/>
    <n v="5.1373346897253307E-2"/>
    <n v="0.50495049504950495"/>
    <n v="6.6278260869565218"/>
  </r>
  <r>
    <n v="740"/>
    <n v="29"/>
    <x v="1"/>
    <x v="4"/>
    <s v="CMP102"/>
    <x v="3"/>
    <n v="3895"/>
    <n v="458"/>
    <n v="16"/>
    <n v="2896"/>
    <n v="1889"/>
    <d v="2025-04-27T00:00:00"/>
    <n v="0.11758664955070604"/>
    <n v="3.4934497816593885E-2"/>
    <n v="0.53308628904182109"/>
  </r>
  <r>
    <n v="741"/>
    <n v="21"/>
    <x v="0"/>
    <x v="0"/>
    <s v="CMP100"/>
    <x v="0"/>
    <n v="4641"/>
    <n v="358"/>
    <n v="17"/>
    <n v="3349"/>
    <n v="800"/>
    <d v="2025-01-07T00:00:00"/>
    <n v="7.7138547726783024E-2"/>
    <n v="4.7486033519553071E-2"/>
    <n v="3.1862499999999998"/>
  </r>
  <r>
    <n v="742"/>
    <n v="40"/>
    <x v="0"/>
    <x v="0"/>
    <s v="CMP106"/>
    <x v="4"/>
    <n v="865"/>
    <n v="171"/>
    <n v="15"/>
    <n v="1995"/>
    <n v="1571"/>
    <d v="2025-04-24T00:00:00"/>
    <n v="0.19768786127167631"/>
    <n v="8.771929824561403E-2"/>
    <n v="0.2698917886696372"/>
  </r>
  <r>
    <n v="743"/>
    <n v="46"/>
    <x v="1"/>
    <x v="2"/>
    <s v="CMP102"/>
    <x v="4"/>
    <n v="1246"/>
    <n v="416"/>
    <n v="61"/>
    <n v="6344"/>
    <n v="737"/>
    <d v="2025-04-07T00:00:00"/>
    <n v="0.33386837881219905"/>
    <n v="0.14663461538461539"/>
    <n v="7.6078697421981003"/>
  </r>
  <r>
    <n v="744"/>
    <n v="34"/>
    <x v="1"/>
    <x v="5"/>
    <s v="CMP102"/>
    <x v="2"/>
    <n v="3329"/>
    <n v="383"/>
    <n v="39"/>
    <n v="6669"/>
    <n v="997"/>
    <d v="2025-03-21T00:00:00"/>
    <n v="0.11504956443376389"/>
    <n v="0.10182767624020887"/>
    <n v="5.6890672016048143"/>
  </r>
  <r>
    <n v="745"/>
    <n v="42"/>
    <x v="0"/>
    <x v="0"/>
    <s v="CMP102"/>
    <x v="0"/>
    <n v="2273"/>
    <n v="463"/>
    <n v="49"/>
    <n v="9261"/>
    <n v="278"/>
    <d v="2025-04-12T00:00:00"/>
    <n v="0.20369555653321603"/>
    <n v="0.10583153347732181"/>
    <n v="32.312949640287769"/>
  </r>
  <r>
    <n v="746"/>
    <n v="40"/>
    <x v="1"/>
    <x v="2"/>
    <s v="CMP108"/>
    <x v="4"/>
    <n v="3165"/>
    <n v="96"/>
    <n v="57"/>
    <n v="11229"/>
    <n v="775"/>
    <d v="2025-04-16T00:00:00"/>
    <n v="3.0331753554502371E-2"/>
    <n v="0.59375"/>
    <n v="13.489032258064515"/>
  </r>
  <r>
    <n v="747"/>
    <n v="24"/>
    <x v="0"/>
    <x v="2"/>
    <s v="CMP101"/>
    <x v="3"/>
    <n v="4090"/>
    <n v="327"/>
    <n v="45"/>
    <n v="4005"/>
    <n v="529"/>
    <d v="2025-04-12T00:00:00"/>
    <n v="7.995110024449878E-2"/>
    <n v="0.13761467889908258"/>
    <n v="6.5708884688090734"/>
  </r>
  <r>
    <n v="748"/>
    <n v="21"/>
    <x v="0"/>
    <x v="1"/>
    <s v="CMP100"/>
    <x v="1"/>
    <n v="1172"/>
    <n v="50"/>
    <n v="57"/>
    <n v="6441"/>
    <n v="1411"/>
    <d v="2025-01-04T00:00:00"/>
    <n v="4.2662116040955635E-2"/>
    <n v="1.1399999999999999"/>
    <n v="3.5648476257973067"/>
  </r>
  <r>
    <n v="749"/>
    <n v="47"/>
    <x v="0"/>
    <x v="4"/>
    <s v="CMP101"/>
    <x v="1"/>
    <n v="1001"/>
    <n v="267"/>
    <n v="8"/>
    <n v="1200"/>
    <n v="1736"/>
    <d v="2025-03-14T00:00:00"/>
    <n v="0.26673326673326675"/>
    <n v="2.9962546816479401E-2"/>
    <n v="-0.30875576036866359"/>
  </r>
  <r>
    <n v="750"/>
    <n v="44"/>
    <x v="1"/>
    <x v="3"/>
    <s v="CMP108"/>
    <x v="0"/>
    <n v="4886"/>
    <n v="57"/>
    <n v="28"/>
    <n v="3612"/>
    <n v="491"/>
    <d v="2025-01-18T00:00:00"/>
    <n v="1.1665984445354072E-2"/>
    <n v="0.49122807017543857"/>
    <n v="6.3564154786150713"/>
  </r>
  <r>
    <n v="751"/>
    <n v="48"/>
    <x v="1"/>
    <x v="5"/>
    <s v="CMP103"/>
    <x v="2"/>
    <n v="1007"/>
    <n v="462"/>
    <n v="20"/>
    <n v="2520"/>
    <n v="1578"/>
    <d v="2025-02-06T00:00:00"/>
    <n v="0.45878848063555117"/>
    <n v="4.3290043290043288E-2"/>
    <n v="0.59695817490494296"/>
  </r>
  <r>
    <n v="752"/>
    <n v="21"/>
    <x v="1"/>
    <x v="5"/>
    <s v="CMP105"/>
    <x v="3"/>
    <n v="4122"/>
    <n v="353"/>
    <n v="50"/>
    <n v="9200"/>
    <n v="1262"/>
    <d v="2025-03-16T00:00:00"/>
    <n v="8.5638039786511397E-2"/>
    <n v="0.14164305949008499"/>
    <n v="6.2900158478605386"/>
  </r>
  <r>
    <n v="753"/>
    <n v="24"/>
    <x v="1"/>
    <x v="2"/>
    <s v="CMP100"/>
    <x v="3"/>
    <n v="2655"/>
    <n v="317"/>
    <n v="40"/>
    <n v="6760"/>
    <n v="1753"/>
    <d v="2025-02-27T00:00:00"/>
    <n v="0.11939736346516007"/>
    <n v="0.12618296529968454"/>
    <n v="2.8562464346834"/>
  </r>
  <r>
    <n v="754"/>
    <n v="25"/>
    <x v="1"/>
    <x v="2"/>
    <s v="CMP107"/>
    <x v="4"/>
    <n v="2381"/>
    <n v="136"/>
    <n v="10"/>
    <n v="1230"/>
    <n v="781"/>
    <d v="2025-03-27T00:00:00"/>
    <n v="5.7118857622847546E-2"/>
    <n v="7.3529411764705885E-2"/>
    <n v="0.5749039692701664"/>
  </r>
  <r>
    <n v="755"/>
    <n v="47"/>
    <x v="0"/>
    <x v="3"/>
    <s v="CMP108"/>
    <x v="0"/>
    <n v="518"/>
    <n v="150"/>
    <n v="22"/>
    <n v="3960"/>
    <n v="806"/>
    <d v="2025-02-11T00:00:00"/>
    <n v="0.28957528957528955"/>
    <n v="0.14666666666666667"/>
    <n v="3.9131513647642682"/>
  </r>
  <r>
    <n v="756"/>
    <n v="44"/>
    <x v="0"/>
    <x v="5"/>
    <s v="CMP106"/>
    <x v="4"/>
    <n v="2580"/>
    <n v="278"/>
    <n v="16"/>
    <n v="2768"/>
    <n v="1853"/>
    <d v="2025-01-09T00:00:00"/>
    <n v="0.10775193798449613"/>
    <n v="5.7553956834532377E-2"/>
    <n v="0.49379384781435509"/>
  </r>
  <r>
    <n v="757"/>
    <n v="32"/>
    <x v="0"/>
    <x v="4"/>
    <s v="CMP101"/>
    <x v="1"/>
    <n v="1769"/>
    <n v="454"/>
    <n v="33"/>
    <n v="6138"/>
    <n v="1384"/>
    <d v="2025-02-21T00:00:00"/>
    <n v="0.25664217071791973"/>
    <n v="7.268722466960352E-2"/>
    <n v="3.4349710982658959"/>
  </r>
  <r>
    <n v="758"/>
    <n v="24"/>
    <x v="1"/>
    <x v="4"/>
    <s v="CMP101"/>
    <x v="4"/>
    <n v="4456"/>
    <n v="221"/>
    <n v="58"/>
    <n v="4756"/>
    <n v="473"/>
    <d v="2025-04-18T00:00:00"/>
    <n v="4.9596050269299821E-2"/>
    <n v="0.26244343891402716"/>
    <n v="9.0549682875264264"/>
  </r>
  <r>
    <n v="759"/>
    <n v="48"/>
    <x v="1"/>
    <x v="3"/>
    <s v="CMP109"/>
    <x v="0"/>
    <n v="921"/>
    <n v="470"/>
    <n v="62"/>
    <n v="8556"/>
    <n v="563"/>
    <d v="2025-01-11T00:00:00"/>
    <n v="0.51031487513572205"/>
    <n v="0.13191489361702127"/>
    <n v="14.197158081705151"/>
  </r>
  <r>
    <n v="760"/>
    <n v="46"/>
    <x v="1"/>
    <x v="4"/>
    <s v="CMP107"/>
    <x v="0"/>
    <n v="1390"/>
    <n v="259"/>
    <n v="72"/>
    <n v="12744"/>
    <n v="1080"/>
    <d v="2025-01-22T00:00:00"/>
    <n v="0.18633093525179856"/>
    <n v="0.27799227799227799"/>
    <n v="10.8"/>
  </r>
  <r>
    <n v="761"/>
    <n v="38"/>
    <x v="0"/>
    <x v="4"/>
    <s v="CMP106"/>
    <x v="4"/>
    <n v="1973"/>
    <n v="221"/>
    <n v="10"/>
    <n v="1040"/>
    <n v="1649"/>
    <d v="2025-01-16T00:00:00"/>
    <n v="0.11201216421692854"/>
    <n v="4.5248868778280542E-2"/>
    <n v="-0.36931473620375987"/>
  </r>
  <r>
    <n v="762"/>
    <n v="26"/>
    <x v="0"/>
    <x v="1"/>
    <s v="CMP109"/>
    <x v="3"/>
    <n v="4481"/>
    <n v="216"/>
    <n v="32"/>
    <n v="5472"/>
    <n v="423"/>
    <d v="2025-02-14T00:00:00"/>
    <n v="4.8203525998661012E-2"/>
    <n v="0.14814814814814814"/>
    <n v="11.936170212765957"/>
  </r>
  <r>
    <n v="763"/>
    <n v="49"/>
    <x v="0"/>
    <x v="2"/>
    <s v="CMP109"/>
    <x v="4"/>
    <n v="4233"/>
    <n v="465"/>
    <n v="73"/>
    <n v="10804"/>
    <n v="926"/>
    <d v="2025-02-08T00:00:00"/>
    <n v="0.10985116938341602"/>
    <n v="0.15698924731182795"/>
    <n v="10.667386609071274"/>
  </r>
  <r>
    <n v="764"/>
    <n v="20"/>
    <x v="0"/>
    <x v="4"/>
    <s v="CMP102"/>
    <x v="0"/>
    <n v="1389"/>
    <n v="320"/>
    <n v="75"/>
    <n v="14250"/>
    <n v="1124"/>
    <d v="2025-01-10T00:00:00"/>
    <n v="0.23038156947444205"/>
    <n v="0.234375"/>
    <n v="11.677935943060499"/>
  </r>
  <r>
    <n v="765"/>
    <n v="30"/>
    <x v="1"/>
    <x v="0"/>
    <s v="CMP102"/>
    <x v="0"/>
    <n v="2895"/>
    <n v="78"/>
    <n v="39"/>
    <n v="3549"/>
    <n v="1741"/>
    <d v="2025-03-08T00:00:00"/>
    <n v="2.6943005181347152E-2"/>
    <n v="0.5"/>
    <n v="1.038483630097645"/>
  </r>
  <r>
    <n v="766"/>
    <n v="20"/>
    <x v="0"/>
    <x v="4"/>
    <s v="CMP107"/>
    <x v="4"/>
    <n v="1403"/>
    <n v="57"/>
    <n v="51"/>
    <n v="8364"/>
    <n v="1914"/>
    <d v="2025-03-28T00:00:00"/>
    <n v="4.0627227369921595E-2"/>
    <n v="0.89473684210526316"/>
    <n v="3.3699059561128526"/>
  </r>
  <r>
    <n v="767"/>
    <n v="31"/>
    <x v="0"/>
    <x v="2"/>
    <s v="CMP104"/>
    <x v="0"/>
    <n v="3587"/>
    <n v="382"/>
    <n v="71"/>
    <n v="6248"/>
    <n v="1719"/>
    <d v="2025-03-12T00:00:00"/>
    <n v="0.10649567884025649"/>
    <n v="0.18586387434554974"/>
    <n v="2.6346713205351948"/>
  </r>
  <r>
    <n v="768"/>
    <n v="54"/>
    <x v="0"/>
    <x v="0"/>
    <s v="CMP100"/>
    <x v="0"/>
    <n v="2562"/>
    <n v="376"/>
    <n v="45"/>
    <n v="8640"/>
    <n v="1631"/>
    <d v="2025-01-10T00:00:00"/>
    <n v="0.14676034348165495"/>
    <n v="0.11968085106382979"/>
    <n v="4.2973635806253832"/>
  </r>
  <r>
    <n v="769"/>
    <n v="42"/>
    <x v="0"/>
    <x v="5"/>
    <s v="CMP101"/>
    <x v="1"/>
    <n v="2014"/>
    <n v="257"/>
    <n v="76"/>
    <n v="14592"/>
    <n v="1151"/>
    <d v="2025-01-12T00:00:00"/>
    <n v="0.12760675273088382"/>
    <n v="0.29571984435797666"/>
    <n v="11.677671589921808"/>
  </r>
  <r>
    <n v="770"/>
    <n v="31"/>
    <x v="1"/>
    <x v="2"/>
    <s v="CMP108"/>
    <x v="3"/>
    <n v="4036"/>
    <n v="237"/>
    <n v="30"/>
    <n v="5730"/>
    <n v="1717"/>
    <d v="2025-02-05T00:00:00"/>
    <n v="5.8721506442021801E-2"/>
    <n v="0.12658227848101267"/>
    <n v="2.3372160745486315"/>
  </r>
  <r>
    <n v="771"/>
    <n v="22"/>
    <x v="1"/>
    <x v="1"/>
    <s v="CMP108"/>
    <x v="1"/>
    <n v="3436"/>
    <n v="328"/>
    <n v="47"/>
    <n v="8930"/>
    <n v="333"/>
    <d v="2025-01-18T00:00:00"/>
    <n v="9.5459837019790453E-2"/>
    <n v="0.14329268292682926"/>
    <n v="25.816816816816818"/>
  </r>
  <r>
    <n v="772"/>
    <n v="45"/>
    <x v="0"/>
    <x v="5"/>
    <s v="CMP102"/>
    <x v="4"/>
    <n v="3761"/>
    <n v="190"/>
    <n v="47"/>
    <n v="6486"/>
    <n v="857"/>
    <d v="2025-02-25T00:00:00"/>
    <n v="5.0518479127891515E-2"/>
    <n v="0.24736842105263157"/>
    <n v="6.5682613768961495"/>
  </r>
  <r>
    <n v="773"/>
    <n v="20"/>
    <x v="1"/>
    <x v="0"/>
    <s v="CMP109"/>
    <x v="1"/>
    <n v="4706"/>
    <n v="186"/>
    <n v="72"/>
    <n v="12744"/>
    <n v="1013"/>
    <d v="2025-01-08T00:00:00"/>
    <n v="3.9524011899702505E-2"/>
    <n v="0.38709677419354838"/>
    <n v="11.580454096742349"/>
  </r>
  <r>
    <n v="774"/>
    <n v="30"/>
    <x v="0"/>
    <x v="1"/>
    <s v="CMP104"/>
    <x v="4"/>
    <n v="2041"/>
    <n v="329"/>
    <n v="52"/>
    <n v="8996"/>
    <n v="1710"/>
    <d v="2025-01-25T00:00:00"/>
    <n v="0.16119549240568348"/>
    <n v="0.1580547112462006"/>
    <n v="4.2608187134502922"/>
  </r>
  <r>
    <n v="775"/>
    <n v="29"/>
    <x v="0"/>
    <x v="3"/>
    <s v="CMP101"/>
    <x v="1"/>
    <n v="4743"/>
    <n v="167"/>
    <n v="70"/>
    <n v="13510"/>
    <n v="1012"/>
    <d v="2025-04-21T00:00:00"/>
    <n v="3.5209782837866327E-2"/>
    <n v="0.41916167664670656"/>
    <n v="12.349802371541502"/>
  </r>
  <r>
    <n v="776"/>
    <n v="43"/>
    <x v="0"/>
    <x v="3"/>
    <s v="CMP105"/>
    <x v="0"/>
    <n v="2284"/>
    <n v="488"/>
    <n v="79"/>
    <n v="9006"/>
    <n v="1370"/>
    <d v="2025-02-14T00:00:00"/>
    <n v="0.2136602451838879"/>
    <n v="0.16188524590163936"/>
    <n v="5.5737226277372267"/>
  </r>
  <r>
    <n v="777"/>
    <n v="39"/>
    <x v="1"/>
    <x v="2"/>
    <s v="CMP106"/>
    <x v="3"/>
    <n v="1951"/>
    <n v="265"/>
    <n v="69"/>
    <n v="8418"/>
    <n v="762"/>
    <d v="2025-02-25T00:00:00"/>
    <n v="0.13582778062532036"/>
    <n v="0.26037735849056604"/>
    <n v="10.047244094488189"/>
  </r>
  <r>
    <n v="778"/>
    <n v="50"/>
    <x v="1"/>
    <x v="1"/>
    <s v="CMP102"/>
    <x v="1"/>
    <n v="3846"/>
    <n v="387"/>
    <n v="59"/>
    <n v="10089"/>
    <n v="1955"/>
    <d v="2025-01-28T00:00:00"/>
    <n v="0.10062402496099844"/>
    <n v="0.15245478036175711"/>
    <n v="4.1606138107416877"/>
  </r>
  <r>
    <n v="779"/>
    <n v="52"/>
    <x v="0"/>
    <x v="4"/>
    <s v="CMP101"/>
    <x v="4"/>
    <n v="3438"/>
    <n v="229"/>
    <n v="53"/>
    <n v="5565"/>
    <n v="1260"/>
    <d v="2025-04-09T00:00:00"/>
    <n v="6.6608493310063993E-2"/>
    <n v="0.23144104803493451"/>
    <n v="3.4166666666666665"/>
  </r>
  <r>
    <n v="780"/>
    <n v="39"/>
    <x v="0"/>
    <x v="0"/>
    <s v="CMP102"/>
    <x v="3"/>
    <n v="1691"/>
    <n v="129"/>
    <n v="42"/>
    <n v="6972"/>
    <n v="1861"/>
    <d v="2025-03-01T00:00:00"/>
    <n v="7.6286221170904792E-2"/>
    <n v="0.32558139534883723"/>
    <n v="2.7463729177861365"/>
  </r>
  <r>
    <n v="781"/>
    <n v="39"/>
    <x v="1"/>
    <x v="1"/>
    <s v="CMP104"/>
    <x v="3"/>
    <n v="1184"/>
    <n v="95"/>
    <n v="76"/>
    <n v="10184"/>
    <n v="435"/>
    <d v="2025-01-26T00:00:00"/>
    <n v="8.0236486486486486E-2"/>
    <n v="0.8"/>
    <n v="22.411494252873563"/>
  </r>
  <r>
    <n v="782"/>
    <n v="23"/>
    <x v="1"/>
    <x v="3"/>
    <s v="CMP106"/>
    <x v="1"/>
    <n v="2267"/>
    <n v="134"/>
    <n v="29"/>
    <n v="4176"/>
    <n v="1712"/>
    <d v="2025-04-25T00:00:00"/>
    <n v="5.9108954565505072E-2"/>
    <n v="0.21641791044776118"/>
    <n v="1.4392523364485981"/>
  </r>
  <r>
    <n v="783"/>
    <n v="47"/>
    <x v="1"/>
    <x v="0"/>
    <s v="CMP101"/>
    <x v="2"/>
    <n v="4659"/>
    <n v="392"/>
    <n v="47"/>
    <n v="8225"/>
    <n v="1118"/>
    <d v="2025-03-28T00:00:00"/>
    <n v="8.4138227087357798E-2"/>
    <n v="0.11989795918367346"/>
    <n v="6.3568872987477638"/>
  </r>
  <r>
    <n v="784"/>
    <n v="40"/>
    <x v="0"/>
    <x v="3"/>
    <s v="CMP101"/>
    <x v="2"/>
    <n v="4034"/>
    <n v="274"/>
    <n v="25"/>
    <n v="4550"/>
    <n v="512"/>
    <d v="2025-03-29T00:00:00"/>
    <n v="6.7922657411998016E-2"/>
    <n v="9.1240875912408759E-2"/>
    <n v="7.88671875"/>
  </r>
  <r>
    <n v="785"/>
    <n v="44"/>
    <x v="0"/>
    <x v="0"/>
    <s v="CMP105"/>
    <x v="3"/>
    <n v="1181"/>
    <n v="184"/>
    <n v="54"/>
    <n v="8802"/>
    <n v="1655"/>
    <d v="2025-04-01T00:00:00"/>
    <n v="0.15580016934801016"/>
    <n v="0.29347826086956524"/>
    <n v="4.3184290030211478"/>
  </r>
  <r>
    <n v="786"/>
    <n v="30"/>
    <x v="0"/>
    <x v="4"/>
    <s v="CMP100"/>
    <x v="4"/>
    <n v="4840"/>
    <n v="158"/>
    <n v="61"/>
    <n v="10309"/>
    <n v="732"/>
    <d v="2025-03-28T00:00:00"/>
    <n v="3.2644628099173553E-2"/>
    <n v="0.38607594936708861"/>
    <n v="13.083333333333334"/>
  </r>
  <r>
    <n v="787"/>
    <n v="19"/>
    <x v="1"/>
    <x v="4"/>
    <s v="CMP108"/>
    <x v="4"/>
    <n v="4231"/>
    <n v="150"/>
    <n v="21"/>
    <n v="2520"/>
    <n v="227"/>
    <d v="2025-02-27T00:00:00"/>
    <n v="3.5452611675726775E-2"/>
    <n v="0.14000000000000001"/>
    <n v="10.101321585903083"/>
  </r>
  <r>
    <n v="788"/>
    <n v="23"/>
    <x v="0"/>
    <x v="0"/>
    <s v="CMP101"/>
    <x v="4"/>
    <n v="2021"/>
    <n v="346"/>
    <n v="10"/>
    <n v="1170"/>
    <n v="1554"/>
    <d v="2025-02-09T00:00:00"/>
    <n v="0.17120237506185057"/>
    <n v="2.8901734104046242E-2"/>
    <n v="-0.24710424710424711"/>
  </r>
  <r>
    <n v="789"/>
    <n v="41"/>
    <x v="1"/>
    <x v="1"/>
    <s v="CMP102"/>
    <x v="4"/>
    <n v="1878"/>
    <n v="274"/>
    <n v="28"/>
    <n v="2716"/>
    <n v="1754"/>
    <d v="2025-03-03T00:00:00"/>
    <n v="0.14589989350372737"/>
    <n v="0.10218978102189781"/>
    <n v="0.54846066134549598"/>
  </r>
  <r>
    <n v="790"/>
    <n v="51"/>
    <x v="1"/>
    <x v="3"/>
    <s v="CMP108"/>
    <x v="3"/>
    <n v="2548"/>
    <n v="202"/>
    <n v="49"/>
    <n v="9114"/>
    <n v="707"/>
    <d v="2025-01-16T00:00:00"/>
    <n v="7.9277864992150712E-2"/>
    <n v="0.24257425742574257"/>
    <n v="11.891089108910892"/>
  </r>
  <r>
    <n v="791"/>
    <n v="33"/>
    <x v="0"/>
    <x v="2"/>
    <s v="CMP105"/>
    <x v="3"/>
    <n v="2261"/>
    <n v="270"/>
    <n v="23"/>
    <n v="2392"/>
    <n v="922"/>
    <d v="2025-04-25T00:00:00"/>
    <n v="0.11941618752764263"/>
    <n v="8.5185185185185183E-2"/>
    <n v="1.594360086767896"/>
  </r>
  <r>
    <n v="792"/>
    <n v="33"/>
    <x v="0"/>
    <x v="4"/>
    <s v="CMP107"/>
    <x v="3"/>
    <n v="3388"/>
    <n v="178"/>
    <n v="46"/>
    <n v="5198"/>
    <n v="680"/>
    <d v="2025-02-24T00:00:00"/>
    <n v="5.2538370720188902E-2"/>
    <n v="0.25842696629213485"/>
    <n v="6.6441176470588239"/>
  </r>
  <r>
    <n v="793"/>
    <n v="23"/>
    <x v="1"/>
    <x v="2"/>
    <s v="CMP108"/>
    <x v="0"/>
    <n v="844"/>
    <n v="430"/>
    <n v="49"/>
    <n v="4900"/>
    <n v="1869"/>
    <d v="2025-02-17T00:00:00"/>
    <n v="0.50947867298578198"/>
    <n v="0.11395348837209303"/>
    <n v="1.6217228464419475"/>
  </r>
  <r>
    <n v="794"/>
    <n v="47"/>
    <x v="1"/>
    <x v="4"/>
    <s v="CMP108"/>
    <x v="0"/>
    <n v="2014"/>
    <n v="88"/>
    <n v="35"/>
    <n v="3115"/>
    <n v="1201"/>
    <d v="2025-04-26T00:00:00"/>
    <n v="4.3694141012909631E-2"/>
    <n v="0.39772727272727271"/>
    <n v="1.5936719400499584"/>
  </r>
  <r>
    <n v="795"/>
    <n v="21"/>
    <x v="1"/>
    <x v="3"/>
    <s v="CMP107"/>
    <x v="0"/>
    <n v="773"/>
    <n v="493"/>
    <n v="77"/>
    <n v="7238"/>
    <n v="678"/>
    <d v="2025-01-09T00:00:00"/>
    <n v="0.63777490297542039"/>
    <n v="0.15618661257606492"/>
    <n v="9.6755162241887902"/>
  </r>
  <r>
    <n v="796"/>
    <n v="33"/>
    <x v="0"/>
    <x v="4"/>
    <s v="CMP102"/>
    <x v="4"/>
    <n v="3168"/>
    <n v="186"/>
    <n v="30"/>
    <n v="4800"/>
    <n v="1611"/>
    <d v="2025-02-21T00:00:00"/>
    <n v="5.8712121212121215E-2"/>
    <n v="0.16129032258064516"/>
    <n v="1.9795158286778398"/>
  </r>
  <r>
    <n v="797"/>
    <n v="46"/>
    <x v="0"/>
    <x v="3"/>
    <s v="CMP103"/>
    <x v="4"/>
    <n v="3832"/>
    <n v="325"/>
    <n v="22"/>
    <n v="1782"/>
    <n v="822"/>
    <d v="2025-02-11T00:00:00"/>
    <n v="8.4812108559498958E-2"/>
    <n v="6.7692307692307691E-2"/>
    <n v="1.167883211678832"/>
  </r>
  <r>
    <n v="798"/>
    <n v="26"/>
    <x v="1"/>
    <x v="0"/>
    <s v="CMP104"/>
    <x v="0"/>
    <n v="3760"/>
    <n v="144"/>
    <n v="12"/>
    <n v="2292"/>
    <n v="266"/>
    <d v="2025-01-11T00:00:00"/>
    <n v="3.8297872340425532E-2"/>
    <n v="8.3333333333333329E-2"/>
    <n v="7.6165413533834583"/>
  </r>
  <r>
    <n v="799"/>
    <n v="30"/>
    <x v="1"/>
    <x v="2"/>
    <s v="CMP104"/>
    <x v="4"/>
    <n v="3032"/>
    <n v="347"/>
    <n v="17"/>
    <n v="3383"/>
    <n v="1387"/>
    <d v="2025-03-15T00:00:00"/>
    <n v="0.11444591029023747"/>
    <n v="4.8991354466858789E-2"/>
    <n v="1.4390771449170872"/>
  </r>
  <r>
    <n v="800"/>
    <n v="40"/>
    <x v="1"/>
    <x v="3"/>
    <s v="CMP106"/>
    <x v="1"/>
    <n v="4587"/>
    <n v="122"/>
    <n v="56"/>
    <n v="4536"/>
    <n v="398"/>
    <d v="2025-02-09T00:00:00"/>
    <n v="2.659690429474602E-2"/>
    <n v="0.45901639344262296"/>
    <n v="10.396984924623116"/>
  </r>
  <r>
    <n v="801"/>
    <n v="43"/>
    <x v="0"/>
    <x v="5"/>
    <s v="CMP102"/>
    <x v="2"/>
    <n v="2355"/>
    <n v="390"/>
    <n v="27"/>
    <n v="4239"/>
    <n v="1892"/>
    <d v="2025-03-10T00:00:00"/>
    <n v="0.16560509554140126"/>
    <n v="6.9230769230769235E-2"/>
    <n v="1.2404862579281184"/>
  </r>
  <r>
    <n v="802"/>
    <n v="34"/>
    <x v="1"/>
    <x v="1"/>
    <s v="CMP101"/>
    <x v="3"/>
    <n v="4586"/>
    <n v="272"/>
    <n v="35"/>
    <n v="3465"/>
    <n v="1657"/>
    <d v="2025-01-25T00:00:00"/>
    <n v="5.9310946358482337E-2"/>
    <n v="0.12867647058823528"/>
    <n v="1.0911285455642727"/>
  </r>
  <r>
    <n v="803"/>
    <n v="52"/>
    <x v="0"/>
    <x v="3"/>
    <s v="CMP101"/>
    <x v="0"/>
    <n v="3584"/>
    <n v="171"/>
    <n v="74"/>
    <n v="10138"/>
    <n v="1930"/>
    <d v="2025-03-16T00:00:00"/>
    <n v="4.7712053571428568E-2"/>
    <n v="0.43274853801169588"/>
    <n v="4.2528497409326427"/>
  </r>
  <r>
    <n v="804"/>
    <n v="39"/>
    <x v="0"/>
    <x v="2"/>
    <s v="CMP102"/>
    <x v="3"/>
    <n v="3433"/>
    <n v="389"/>
    <n v="68"/>
    <n v="11016"/>
    <n v="524"/>
    <d v="2025-04-21T00:00:00"/>
    <n v="0.11331197203612001"/>
    <n v="0.17480719794344474"/>
    <n v="20.022900763358777"/>
  </r>
  <r>
    <n v="805"/>
    <n v="52"/>
    <x v="1"/>
    <x v="1"/>
    <s v="CMP106"/>
    <x v="4"/>
    <n v="3889"/>
    <n v="193"/>
    <n v="72"/>
    <n v="12096"/>
    <n v="1238"/>
    <d v="2025-01-14T00:00:00"/>
    <n v="4.962715350989972E-2"/>
    <n v="0.37305699481865284"/>
    <n v="8.7705977382875613"/>
  </r>
  <r>
    <n v="806"/>
    <n v="42"/>
    <x v="0"/>
    <x v="1"/>
    <s v="CMP105"/>
    <x v="0"/>
    <n v="3417"/>
    <n v="149"/>
    <n v="11"/>
    <n v="1782"/>
    <n v="1765"/>
    <d v="2025-04-14T00:00:00"/>
    <n v="4.3605501902253437E-2"/>
    <n v="7.3825503355704702E-2"/>
    <n v="9.6317280453257787E-3"/>
  </r>
  <r>
    <n v="807"/>
    <n v="30"/>
    <x v="1"/>
    <x v="5"/>
    <s v="CMP106"/>
    <x v="2"/>
    <n v="4155"/>
    <n v="259"/>
    <n v="46"/>
    <n v="6532"/>
    <n v="1496"/>
    <d v="2025-01-27T00:00:00"/>
    <n v="6.233453670276775E-2"/>
    <n v="0.17760617760617761"/>
    <n v="3.3663101604278074"/>
  </r>
  <r>
    <n v="808"/>
    <n v="35"/>
    <x v="0"/>
    <x v="3"/>
    <s v="CMP106"/>
    <x v="3"/>
    <n v="3093"/>
    <n v="85"/>
    <n v="29"/>
    <n v="2987"/>
    <n v="717"/>
    <d v="2025-01-06T00:00:00"/>
    <n v="2.7481409634658907E-2"/>
    <n v="0.3411764705882353"/>
    <n v="3.1659693165969318"/>
  </r>
  <r>
    <n v="809"/>
    <n v="28"/>
    <x v="1"/>
    <x v="3"/>
    <s v="CMP109"/>
    <x v="4"/>
    <n v="3697"/>
    <n v="458"/>
    <n v="59"/>
    <n v="6077"/>
    <n v="885"/>
    <d v="2025-04-25T00:00:00"/>
    <n v="0.1238842304571274"/>
    <n v="0.12882096069868995"/>
    <n v="5.8666666666666663"/>
  </r>
  <r>
    <n v="810"/>
    <n v="31"/>
    <x v="1"/>
    <x v="3"/>
    <s v="CMP102"/>
    <x v="4"/>
    <n v="4053"/>
    <n v="333"/>
    <n v="7"/>
    <n v="819"/>
    <n v="1298"/>
    <d v="2025-03-31T00:00:00"/>
    <n v="8.2161361954108073E-2"/>
    <n v="2.1021021021021023E-2"/>
    <n v="-0.36902927580893685"/>
  </r>
  <r>
    <n v="811"/>
    <n v="47"/>
    <x v="1"/>
    <x v="3"/>
    <s v="CMP107"/>
    <x v="1"/>
    <n v="1187"/>
    <n v="70"/>
    <n v="58"/>
    <n v="10556"/>
    <n v="1407"/>
    <d v="2025-02-20T00:00:00"/>
    <n v="5.8972198820556022E-2"/>
    <n v="0.82857142857142863"/>
    <n v="6.5024875621890548"/>
  </r>
  <r>
    <n v="812"/>
    <n v="18"/>
    <x v="0"/>
    <x v="2"/>
    <s v="CMP107"/>
    <x v="4"/>
    <n v="2311"/>
    <n v="161"/>
    <n v="63"/>
    <n v="5544"/>
    <n v="1550"/>
    <d v="2025-02-25T00:00:00"/>
    <n v="6.9666810904370408E-2"/>
    <n v="0.39130434782608697"/>
    <n v="2.576774193548387"/>
  </r>
  <r>
    <n v="813"/>
    <n v="24"/>
    <x v="0"/>
    <x v="4"/>
    <s v="CMP100"/>
    <x v="2"/>
    <n v="3606"/>
    <n v="428"/>
    <n v="7"/>
    <n v="1316"/>
    <n v="1981"/>
    <d v="2025-04-01T00:00:00"/>
    <n v="0.11869107043815863"/>
    <n v="1.6355140186915886E-2"/>
    <n v="-0.33568904593639576"/>
  </r>
  <r>
    <n v="814"/>
    <n v="28"/>
    <x v="1"/>
    <x v="2"/>
    <s v="CMP109"/>
    <x v="1"/>
    <n v="963"/>
    <n v="279"/>
    <n v="75"/>
    <n v="12450"/>
    <n v="371"/>
    <d v="2025-04-27T00:00:00"/>
    <n v="0.28971962616822428"/>
    <n v="0.26881720430107525"/>
    <n v="32.557951482479787"/>
  </r>
  <r>
    <n v="815"/>
    <n v="52"/>
    <x v="1"/>
    <x v="3"/>
    <s v="CMP104"/>
    <x v="2"/>
    <n v="1189"/>
    <n v="112"/>
    <n v="41"/>
    <n v="6560"/>
    <n v="1922"/>
    <d v="2025-02-17T00:00:00"/>
    <n v="9.4196804037005893E-2"/>
    <n v="0.36607142857142855"/>
    <n v="2.413111342351717"/>
  </r>
  <r>
    <n v="816"/>
    <n v="31"/>
    <x v="1"/>
    <x v="2"/>
    <s v="CMP100"/>
    <x v="4"/>
    <n v="871"/>
    <n v="224"/>
    <n v="66"/>
    <n v="12870"/>
    <n v="810"/>
    <d v="2025-01-24T00:00:00"/>
    <n v="0.25717566016073479"/>
    <n v="0.29464285714285715"/>
    <n v="14.888888888888889"/>
  </r>
  <r>
    <n v="817"/>
    <n v="32"/>
    <x v="0"/>
    <x v="4"/>
    <s v="CMP105"/>
    <x v="4"/>
    <n v="4199"/>
    <n v="200"/>
    <n v="54"/>
    <n v="8478"/>
    <n v="1725"/>
    <d v="2025-01-27T00:00:00"/>
    <n v="4.7630388187663728E-2"/>
    <n v="0.27"/>
    <n v="3.9147826086956523"/>
  </r>
  <r>
    <n v="818"/>
    <n v="30"/>
    <x v="0"/>
    <x v="4"/>
    <s v="CMP108"/>
    <x v="2"/>
    <n v="2794"/>
    <n v="313"/>
    <n v="7"/>
    <n v="882"/>
    <n v="901"/>
    <d v="2025-04-08T00:00:00"/>
    <n v="0.11202576950608446"/>
    <n v="2.2364217252396165E-2"/>
    <n v="-2.1087680355160933E-2"/>
  </r>
  <r>
    <n v="819"/>
    <n v="30"/>
    <x v="0"/>
    <x v="3"/>
    <s v="CMP100"/>
    <x v="0"/>
    <n v="1483"/>
    <n v="401"/>
    <n v="65"/>
    <n v="11245"/>
    <n v="1479"/>
    <d v="2025-02-03T00:00:00"/>
    <n v="0.27039784221173296"/>
    <n v="0.16209476309226933"/>
    <n v="6.6031102096010814"/>
  </r>
  <r>
    <n v="820"/>
    <n v="48"/>
    <x v="0"/>
    <x v="5"/>
    <s v="CMP108"/>
    <x v="3"/>
    <n v="4674"/>
    <n v="285"/>
    <n v="75"/>
    <n v="14850"/>
    <n v="1700"/>
    <d v="2025-02-07T00:00:00"/>
    <n v="6.097560975609756E-2"/>
    <n v="0.26315789473684209"/>
    <n v="7.7352941176470589"/>
  </r>
  <r>
    <n v="821"/>
    <n v="54"/>
    <x v="1"/>
    <x v="0"/>
    <s v="CMP108"/>
    <x v="1"/>
    <n v="2561"/>
    <n v="441"/>
    <n v="58"/>
    <n v="9280"/>
    <n v="585"/>
    <d v="2025-02-25T00:00:00"/>
    <n v="0.17219836001561889"/>
    <n v="0.13151927437641722"/>
    <n v="14.863247863247864"/>
  </r>
  <r>
    <n v="822"/>
    <n v="52"/>
    <x v="0"/>
    <x v="1"/>
    <s v="CMP104"/>
    <x v="4"/>
    <n v="3665"/>
    <n v="142"/>
    <n v="65"/>
    <n v="6565"/>
    <n v="956"/>
    <d v="2025-01-16T00:00:00"/>
    <n v="3.874488403819918E-2"/>
    <n v="0.45774647887323944"/>
    <n v="5.8671548117154808"/>
  </r>
  <r>
    <n v="823"/>
    <n v="19"/>
    <x v="1"/>
    <x v="0"/>
    <s v="CMP103"/>
    <x v="1"/>
    <n v="3181"/>
    <n v="177"/>
    <n v="47"/>
    <n v="7473"/>
    <n v="1496"/>
    <d v="2025-03-26T00:00:00"/>
    <n v="5.5642879597610814E-2"/>
    <n v="0.2655367231638418"/>
    <n v="3.9953208556149731"/>
  </r>
  <r>
    <n v="824"/>
    <n v="42"/>
    <x v="1"/>
    <x v="5"/>
    <s v="CMP104"/>
    <x v="2"/>
    <n v="2005"/>
    <n v="399"/>
    <n v="10"/>
    <n v="1820"/>
    <n v="792"/>
    <d v="2025-03-10T00:00:00"/>
    <n v="0.19900249376558604"/>
    <n v="2.5062656641604009E-2"/>
    <n v="1.297979797979798"/>
  </r>
  <r>
    <n v="825"/>
    <n v="54"/>
    <x v="1"/>
    <x v="2"/>
    <s v="CMP107"/>
    <x v="3"/>
    <n v="4231"/>
    <n v="497"/>
    <n v="20"/>
    <n v="3680"/>
    <n v="1018"/>
    <d v="2025-03-14T00:00:00"/>
    <n v="0.11746632001890805"/>
    <n v="4.0241448692152917E-2"/>
    <n v="2.6149312377210214"/>
  </r>
  <r>
    <n v="826"/>
    <n v="53"/>
    <x v="1"/>
    <x v="1"/>
    <s v="CMP105"/>
    <x v="1"/>
    <n v="1949"/>
    <n v="234"/>
    <n v="70"/>
    <n v="13020"/>
    <n v="464"/>
    <d v="2025-03-05T00:00:00"/>
    <n v="0.12006157003591586"/>
    <n v="0.29914529914529914"/>
    <n v="27.060344827586206"/>
  </r>
  <r>
    <n v="827"/>
    <n v="50"/>
    <x v="1"/>
    <x v="4"/>
    <s v="CMP101"/>
    <x v="2"/>
    <n v="3221"/>
    <n v="488"/>
    <n v="33"/>
    <n v="6237"/>
    <n v="1645"/>
    <d v="2025-03-12T00:00:00"/>
    <n v="0.15150574355790128"/>
    <n v="6.7622950819672137E-2"/>
    <n v="2.7914893617021277"/>
  </r>
  <r>
    <n v="828"/>
    <n v="44"/>
    <x v="1"/>
    <x v="2"/>
    <s v="CMP100"/>
    <x v="3"/>
    <n v="1012"/>
    <n v="265"/>
    <n v="8"/>
    <n v="1288"/>
    <n v="1483"/>
    <d v="2025-01-28T00:00:00"/>
    <n v="0.26185770750988141"/>
    <n v="3.0188679245283019E-2"/>
    <n v="-0.13149022252191503"/>
  </r>
  <r>
    <n v="829"/>
    <n v="23"/>
    <x v="0"/>
    <x v="1"/>
    <s v="CMP101"/>
    <x v="3"/>
    <n v="2653"/>
    <n v="154"/>
    <n v="59"/>
    <n v="8201"/>
    <n v="427"/>
    <d v="2025-03-28T00:00:00"/>
    <n v="5.8047493403693931E-2"/>
    <n v="0.38311688311688313"/>
    <n v="18.206088992974237"/>
  </r>
  <r>
    <n v="830"/>
    <n v="30"/>
    <x v="1"/>
    <x v="3"/>
    <s v="CMP100"/>
    <x v="4"/>
    <n v="3421"/>
    <n v="105"/>
    <n v="17"/>
    <n v="1649"/>
    <n v="1663"/>
    <d v="2025-04-11T00:00:00"/>
    <n v="3.0692779888921367E-2"/>
    <n v="0.16190476190476191"/>
    <n v="-8.4185207456404093E-3"/>
  </r>
  <r>
    <n v="831"/>
    <n v="32"/>
    <x v="0"/>
    <x v="3"/>
    <s v="CMP101"/>
    <x v="0"/>
    <n v="670"/>
    <n v="344"/>
    <n v="65"/>
    <n v="10400"/>
    <n v="625"/>
    <d v="2025-01-23T00:00:00"/>
    <n v="0.51343283582089549"/>
    <n v="0.18895348837209303"/>
    <n v="15.64"/>
  </r>
  <r>
    <n v="832"/>
    <n v="24"/>
    <x v="0"/>
    <x v="1"/>
    <s v="CMP107"/>
    <x v="1"/>
    <n v="3753"/>
    <n v="335"/>
    <n v="62"/>
    <n v="9052"/>
    <n v="1931"/>
    <d v="2025-01-18T00:00:00"/>
    <n v="8.9261923794297898E-2"/>
    <n v="0.18507462686567164"/>
    <n v="3.6877265665458312"/>
  </r>
  <r>
    <n v="833"/>
    <n v="46"/>
    <x v="1"/>
    <x v="2"/>
    <s v="CMP104"/>
    <x v="1"/>
    <n v="4077"/>
    <n v="242"/>
    <n v="72"/>
    <n v="9216"/>
    <n v="693"/>
    <d v="2025-03-31T00:00:00"/>
    <n v="5.9357370615648761E-2"/>
    <n v="0.2975206611570248"/>
    <n v="12.2987012987013"/>
  </r>
  <r>
    <n v="834"/>
    <n v="23"/>
    <x v="0"/>
    <x v="5"/>
    <s v="CMP103"/>
    <x v="2"/>
    <n v="2369"/>
    <n v="58"/>
    <n v="51"/>
    <n v="6630"/>
    <n v="1521"/>
    <d v="2025-03-29T00:00:00"/>
    <n v="2.4482904178978471E-2"/>
    <n v="0.87931034482758619"/>
    <n v="3.358974358974359"/>
  </r>
  <r>
    <n v="835"/>
    <n v="41"/>
    <x v="0"/>
    <x v="4"/>
    <s v="CMP106"/>
    <x v="4"/>
    <n v="4505"/>
    <n v="377"/>
    <n v="69"/>
    <n v="13248"/>
    <n v="1917"/>
    <d v="2025-03-24T00:00:00"/>
    <n v="8.3684794672586021E-2"/>
    <n v="0.1830238726790451"/>
    <n v="5.910798122065728"/>
  </r>
  <r>
    <n v="836"/>
    <n v="47"/>
    <x v="1"/>
    <x v="5"/>
    <s v="CMP105"/>
    <x v="2"/>
    <n v="4268"/>
    <n v="488"/>
    <n v="64"/>
    <n v="9024"/>
    <n v="810"/>
    <d v="2025-03-16T00:00:00"/>
    <n v="0.11433926897844424"/>
    <n v="0.13114754098360656"/>
    <n v="10.140740740740741"/>
  </r>
  <r>
    <n v="837"/>
    <n v="51"/>
    <x v="0"/>
    <x v="5"/>
    <s v="CMP100"/>
    <x v="0"/>
    <n v="3783"/>
    <n v="175"/>
    <n v="33"/>
    <n v="3960"/>
    <n v="1722"/>
    <d v="2025-01-31T00:00:00"/>
    <n v="4.6259582342056571E-2"/>
    <n v="0.18857142857142858"/>
    <n v="1.2996515679442509"/>
  </r>
  <r>
    <n v="838"/>
    <n v="40"/>
    <x v="0"/>
    <x v="1"/>
    <s v="CMP108"/>
    <x v="4"/>
    <n v="2659"/>
    <n v="451"/>
    <n v="21"/>
    <n v="1953"/>
    <n v="1517"/>
    <d v="2025-03-20T00:00:00"/>
    <n v="0.16961263632944715"/>
    <n v="4.6563192904656318E-2"/>
    <n v="0.28740936058009231"/>
  </r>
  <r>
    <n v="839"/>
    <n v="36"/>
    <x v="0"/>
    <x v="5"/>
    <s v="CMP108"/>
    <x v="0"/>
    <n v="1633"/>
    <n v="489"/>
    <n v="26"/>
    <n v="5148"/>
    <n v="1791"/>
    <d v="2025-02-13T00:00:00"/>
    <n v="0.29944886711573793"/>
    <n v="5.3169734151329244E-2"/>
    <n v="1.8743718592964824"/>
  </r>
  <r>
    <n v="840"/>
    <n v="46"/>
    <x v="1"/>
    <x v="5"/>
    <s v="CMP105"/>
    <x v="4"/>
    <n v="2005"/>
    <n v="340"/>
    <n v="5"/>
    <n v="820"/>
    <n v="1019"/>
    <d v="2025-02-06T00:00:00"/>
    <n v="0.16957605985037408"/>
    <n v="1.4705882352941176E-2"/>
    <n v="-0.19528949950932287"/>
  </r>
  <r>
    <n v="841"/>
    <n v="43"/>
    <x v="1"/>
    <x v="0"/>
    <s v="CMP100"/>
    <x v="0"/>
    <n v="678"/>
    <n v="434"/>
    <n v="25"/>
    <n v="4675"/>
    <n v="1751"/>
    <d v="2025-04-10T00:00:00"/>
    <n v="0.64011799410029502"/>
    <n v="5.7603686635944701E-2"/>
    <n v="1.6699029126213591"/>
  </r>
  <r>
    <n v="842"/>
    <n v="40"/>
    <x v="1"/>
    <x v="5"/>
    <s v="CMP106"/>
    <x v="1"/>
    <n v="1085"/>
    <n v="241"/>
    <n v="47"/>
    <n v="6486"/>
    <n v="1496"/>
    <d v="2025-02-13T00:00:00"/>
    <n v="0.22211981566820277"/>
    <n v="0.19502074688796681"/>
    <n v="3.3355614973262031"/>
  </r>
  <r>
    <n v="843"/>
    <n v="21"/>
    <x v="0"/>
    <x v="3"/>
    <s v="CMP106"/>
    <x v="2"/>
    <n v="3898"/>
    <n v="157"/>
    <n v="38"/>
    <n v="7144"/>
    <n v="1013"/>
    <d v="2025-04-06T00:00:00"/>
    <n v="4.0277065161621342E-2"/>
    <n v="0.24203821656050956"/>
    <n v="6.0523198420533069"/>
  </r>
  <r>
    <n v="844"/>
    <n v="54"/>
    <x v="1"/>
    <x v="5"/>
    <s v="CMP105"/>
    <x v="0"/>
    <n v="3206"/>
    <n v="51"/>
    <n v="14"/>
    <n v="2240"/>
    <n v="633"/>
    <d v="2025-01-22T00:00:00"/>
    <n v="1.5907673112913287E-2"/>
    <n v="0.27450980392156865"/>
    <n v="2.5387045813586098"/>
  </r>
  <r>
    <n v="845"/>
    <n v="23"/>
    <x v="1"/>
    <x v="4"/>
    <s v="CMP102"/>
    <x v="2"/>
    <n v="3420"/>
    <n v="389"/>
    <n v="5"/>
    <n v="950"/>
    <n v="637"/>
    <d v="2025-01-18T00:00:00"/>
    <n v="0.11374269005847953"/>
    <n v="1.2853470437017995E-2"/>
    <n v="0.49136577708006279"/>
  </r>
  <r>
    <n v="846"/>
    <n v="30"/>
    <x v="1"/>
    <x v="2"/>
    <s v="CMP106"/>
    <x v="0"/>
    <n v="1401"/>
    <n v="94"/>
    <n v="27"/>
    <n v="2835"/>
    <n v="734"/>
    <d v="2025-03-20T00:00:00"/>
    <n v="6.7094932191291937E-2"/>
    <n v="0.28723404255319152"/>
    <n v="2.8623978201634879"/>
  </r>
  <r>
    <n v="847"/>
    <n v="53"/>
    <x v="0"/>
    <x v="2"/>
    <s v="CMP106"/>
    <x v="4"/>
    <n v="1567"/>
    <n v="76"/>
    <n v="30"/>
    <n v="4740"/>
    <n v="1320"/>
    <d v="2025-03-05T00:00:00"/>
    <n v="4.8500319081046586E-2"/>
    <n v="0.39473684210526316"/>
    <n v="2.5909090909090908"/>
  </r>
  <r>
    <n v="848"/>
    <n v="50"/>
    <x v="0"/>
    <x v="3"/>
    <s v="CMP106"/>
    <x v="2"/>
    <n v="4780"/>
    <n v="118"/>
    <n v="65"/>
    <n v="8710"/>
    <n v="1353"/>
    <d v="2025-02-07T00:00:00"/>
    <n v="2.4686192468619247E-2"/>
    <n v="0.55084745762711862"/>
    <n v="5.4375461936437546"/>
  </r>
  <r>
    <n v="849"/>
    <n v="32"/>
    <x v="0"/>
    <x v="1"/>
    <s v="CMP102"/>
    <x v="3"/>
    <n v="4291"/>
    <n v="383"/>
    <n v="33"/>
    <n v="3762"/>
    <n v="1377"/>
    <d v="2025-03-28T00:00:00"/>
    <n v="8.9256583546958757E-2"/>
    <n v="8.6161879895561358E-2"/>
    <n v="1.7320261437908497"/>
  </r>
  <r>
    <n v="850"/>
    <n v="24"/>
    <x v="1"/>
    <x v="2"/>
    <s v="CMP102"/>
    <x v="4"/>
    <n v="2960"/>
    <n v="83"/>
    <n v="45"/>
    <n v="4590"/>
    <n v="880"/>
    <d v="2025-02-27T00:00:00"/>
    <n v="2.8040540540540542E-2"/>
    <n v="0.54216867469879515"/>
    <n v="4.2159090909090908"/>
  </r>
  <r>
    <n v="851"/>
    <n v="31"/>
    <x v="0"/>
    <x v="5"/>
    <s v="CMP103"/>
    <x v="2"/>
    <n v="2579"/>
    <n v="336"/>
    <n v="47"/>
    <n v="3760"/>
    <n v="816"/>
    <d v="2025-04-06T00:00:00"/>
    <n v="0.13028305544784799"/>
    <n v="0.13988095238095238"/>
    <n v="3.607843137254902"/>
  </r>
  <r>
    <n v="852"/>
    <n v="51"/>
    <x v="1"/>
    <x v="5"/>
    <s v="CMP103"/>
    <x v="1"/>
    <n v="3065"/>
    <n v="152"/>
    <n v="14"/>
    <n v="2366"/>
    <n v="782"/>
    <d v="2025-01-21T00:00:00"/>
    <n v="4.9592169657422511E-2"/>
    <n v="9.2105263157894732E-2"/>
    <n v="2.0255754475703327"/>
  </r>
  <r>
    <n v="853"/>
    <n v="29"/>
    <x v="1"/>
    <x v="2"/>
    <s v="CMP107"/>
    <x v="2"/>
    <n v="3668"/>
    <n v="123"/>
    <n v="67"/>
    <n v="8710"/>
    <n v="1905"/>
    <d v="2025-03-21T00:00:00"/>
    <n v="3.3533260632497272E-2"/>
    <n v="0.54471544715447151"/>
    <n v="3.5721784776902887"/>
  </r>
  <r>
    <n v="854"/>
    <n v="45"/>
    <x v="1"/>
    <x v="3"/>
    <s v="CMP100"/>
    <x v="2"/>
    <n v="3100"/>
    <n v="81"/>
    <n v="19"/>
    <n v="2014"/>
    <n v="773"/>
    <d v="2025-03-05T00:00:00"/>
    <n v="2.6129032258064518E-2"/>
    <n v="0.23456790123456789"/>
    <n v="1.6054333764553688"/>
  </r>
  <r>
    <n v="855"/>
    <n v="24"/>
    <x v="1"/>
    <x v="5"/>
    <s v="CMP108"/>
    <x v="2"/>
    <n v="4065"/>
    <n v="236"/>
    <n v="62"/>
    <n v="7130"/>
    <n v="329"/>
    <d v="2025-03-28T00:00:00"/>
    <n v="5.8056580565805656E-2"/>
    <n v="0.26271186440677968"/>
    <n v="20.671732522796354"/>
  </r>
  <r>
    <n v="856"/>
    <n v="41"/>
    <x v="0"/>
    <x v="1"/>
    <s v="CMP107"/>
    <x v="2"/>
    <n v="2994"/>
    <n v="252"/>
    <n v="78"/>
    <n v="14040"/>
    <n v="736"/>
    <d v="2025-04-20T00:00:00"/>
    <n v="8.4168336673346694E-2"/>
    <n v="0.30952380952380953"/>
    <n v="18.076086956521738"/>
  </r>
  <r>
    <n v="857"/>
    <n v="41"/>
    <x v="0"/>
    <x v="2"/>
    <s v="CMP108"/>
    <x v="4"/>
    <n v="2776"/>
    <n v="362"/>
    <n v="6"/>
    <n v="846"/>
    <n v="1575"/>
    <d v="2025-03-09T00:00:00"/>
    <n v="0.1304034582132565"/>
    <n v="1.6574585635359115E-2"/>
    <n v="-0.46285714285714286"/>
  </r>
  <r>
    <n v="858"/>
    <n v="38"/>
    <x v="1"/>
    <x v="1"/>
    <s v="CMP104"/>
    <x v="3"/>
    <n v="4712"/>
    <n v="355"/>
    <n v="44"/>
    <n v="6776"/>
    <n v="1153"/>
    <d v="2025-01-18T00:00:00"/>
    <n v="7.5339558573853993E-2"/>
    <n v="0.12394366197183099"/>
    <n v="4.8768430182133562"/>
  </r>
  <r>
    <n v="859"/>
    <n v="37"/>
    <x v="1"/>
    <x v="0"/>
    <s v="CMP104"/>
    <x v="2"/>
    <n v="1424"/>
    <n v="201"/>
    <n v="78"/>
    <n v="7566"/>
    <n v="1112"/>
    <d v="2025-02-14T00:00:00"/>
    <n v="0.14115168539325842"/>
    <n v="0.38805970149253732"/>
    <n v="5.8039568345323742"/>
  </r>
  <r>
    <n v="860"/>
    <n v="48"/>
    <x v="1"/>
    <x v="1"/>
    <s v="CMP103"/>
    <x v="0"/>
    <n v="2052"/>
    <n v="122"/>
    <n v="18"/>
    <n v="1944"/>
    <n v="1656"/>
    <d v="2025-03-23T00:00:00"/>
    <n v="5.9454191033138398E-2"/>
    <n v="0.14754098360655737"/>
    <n v="0.17391304347826086"/>
  </r>
  <r>
    <n v="861"/>
    <n v="36"/>
    <x v="1"/>
    <x v="2"/>
    <s v="CMP109"/>
    <x v="1"/>
    <n v="3776"/>
    <n v="128"/>
    <n v="31"/>
    <n v="5580"/>
    <n v="1187"/>
    <d v="2025-02-21T00:00:00"/>
    <n v="3.3898305084745763E-2"/>
    <n v="0.2421875"/>
    <n v="3.7009267059814657"/>
  </r>
  <r>
    <n v="862"/>
    <n v="35"/>
    <x v="1"/>
    <x v="1"/>
    <s v="CMP104"/>
    <x v="4"/>
    <n v="1677"/>
    <n v="203"/>
    <n v="50"/>
    <n v="6400"/>
    <n v="291"/>
    <d v="2025-01-03T00:00:00"/>
    <n v="0.1210494931425164"/>
    <n v="0.24630541871921183"/>
    <n v="20.993127147766323"/>
  </r>
  <r>
    <n v="863"/>
    <n v="20"/>
    <x v="0"/>
    <x v="5"/>
    <s v="CMP100"/>
    <x v="4"/>
    <n v="3357"/>
    <n v="324"/>
    <n v="21"/>
    <n v="2688"/>
    <n v="787"/>
    <d v="2025-02-24T00:00:00"/>
    <n v="9.6514745308310987E-2"/>
    <n v="6.4814814814814811E-2"/>
    <n v="2.4155019059720457"/>
  </r>
  <r>
    <n v="864"/>
    <n v="24"/>
    <x v="1"/>
    <x v="4"/>
    <s v="CMP103"/>
    <x v="2"/>
    <n v="1165"/>
    <n v="404"/>
    <n v="76"/>
    <n v="13604"/>
    <n v="1531"/>
    <d v="2025-01-16T00:00:00"/>
    <n v="0.34678111587982835"/>
    <n v="0.18811881188118812"/>
    <n v="7.8856956237753106"/>
  </r>
  <r>
    <n v="865"/>
    <n v="42"/>
    <x v="0"/>
    <x v="3"/>
    <s v="CMP109"/>
    <x v="2"/>
    <n v="1712"/>
    <n v="359"/>
    <n v="66"/>
    <n v="8448"/>
    <n v="1352"/>
    <d v="2025-04-28T00:00:00"/>
    <n v="0.20969626168224298"/>
    <n v="0.18384401114206128"/>
    <n v="5.2485207100591715"/>
  </r>
  <r>
    <n v="866"/>
    <n v="45"/>
    <x v="1"/>
    <x v="1"/>
    <s v="CMP105"/>
    <x v="2"/>
    <n v="3011"/>
    <n v="193"/>
    <n v="62"/>
    <n v="6696"/>
    <n v="1423"/>
    <d v="2025-01-16T00:00:00"/>
    <n v="6.4098306210561271E-2"/>
    <n v="0.32124352331606215"/>
    <n v="3.7055516514406186"/>
  </r>
  <r>
    <n v="867"/>
    <n v="43"/>
    <x v="1"/>
    <x v="3"/>
    <s v="CMP109"/>
    <x v="2"/>
    <n v="4743"/>
    <n v="385"/>
    <n v="75"/>
    <n v="11775"/>
    <n v="1456"/>
    <d v="2025-03-19T00:00:00"/>
    <n v="8.1172253847775669E-2"/>
    <n v="0.19480519480519481"/>
    <n v="7.0872252747252746"/>
  </r>
  <r>
    <n v="868"/>
    <n v="37"/>
    <x v="1"/>
    <x v="4"/>
    <s v="CMP102"/>
    <x v="1"/>
    <n v="4794"/>
    <n v="210"/>
    <n v="30"/>
    <n v="3720"/>
    <n v="1344"/>
    <d v="2025-02-21T00:00:00"/>
    <n v="4.3804755944931162E-2"/>
    <n v="0.14285714285714285"/>
    <n v="1.7678571428571428"/>
  </r>
  <r>
    <n v="869"/>
    <n v="31"/>
    <x v="0"/>
    <x v="0"/>
    <s v="CMP100"/>
    <x v="2"/>
    <n v="567"/>
    <n v="302"/>
    <n v="30"/>
    <n v="2430"/>
    <n v="658"/>
    <d v="2025-01-12T00:00:00"/>
    <n v="0.53262786596119926"/>
    <n v="9.9337748344370855E-2"/>
    <n v="2.6930091185410334"/>
  </r>
  <r>
    <n v="870"/>
    <n v="51"/>
    <x v="1"/>
    <x v="5"/>
    <s v="CMP109"/>
    <x v="0"/>
    <n v="1055"/>
    <n v="466"/>
    <n v="17"/>
    <n v="2839"/>
    <n v="1813"/>
    <d v="2025-01-21T00:00:00"/>
    <n v="0.44170616113744077"/>
    <n v="3.6480686695278972E-2"/>
    <n v="0.56591285162713734"/>
  </r>
  <r>
    <n v="871"/>
    <n v="30"/>
    <x v="0"/>
    <x v="2"/>
    <s v="CMP106"/>
    <x v="1"/>
    <n v="2459"/>
    <n v="115"/>
    <n v="77"/>
    <n v="12166"/>
    <n v="286"/>
    <d v="2025-03-22T00:00:00"/>
    <n v="4.6766978446522979E-2"/>
    <n v="0.66956521739130437"/>
    <n v="41.53846153846154"/>
  </r>
  <r>
    <n v="872"/>
    <n v="29"/>
    <x v="0"/>
    <x v="1"/>
    <s v="CMP107"/>
    <x v="0"/>
    <n v="1799"/>
    <n v="236"/>
    <n v="50"/>
    <n v="6700"/>
    <n v="1098"/>
    <d v="2025-03-07T00:00:00"/>
    <n v="0.1311839911061701"/>
    <n v="0.21186440677966101"/>
    <n v="5.10200364298725"/>
  </r>
  <r>
    <n v="873"/>
    <n v="23"/>
    <x v="1"/>
    <x v="4"/>
    <s v="CMP103"/>
    <x v="0"/>
    <n v="2035"/>
    <n v="149"/>
    <n v="20"/>
    <n v="2260"/>
    <n v="1562"/>
    <d v="2025-01-22T00:00:00"/>
    <n v="7.3218673218673216E-2"/>
    <n v="0.13422818791946309"/>
    <n v="0.44686299615877079"/>
  </r>
  <r>
    <n v="874"/>
    <n v="47"/>
    <x v="1"/>
    <x v="0"/>
    <s v="CMP104"/>
    <x v="1"/>
    <n v="3589"/>
    <n v="61"/>
    <n v="56"/>
    <n v="11032"/>
    <n v="322"/>
    <d v="2025-02-20T00:00:00"/>
    <n v="1.6996377821120089E-2"/>
    <n v="0.91803278688524592"/>
    <n v="33.260869565217391"/>
  </r>
  <r>
    <n v="875"/>
    <n v="54"/>
    <x v="0"/>
    <x v="1"/>
    <s v="CMP106"/>
    <x v="1"/>
    <n v="2297"/>
    <n v="133"/>
    <n v="31"/>
    <n v="5766"/>
    <n v="764"/>
    <d v="2025-02-28T00:00:00"/>
    <n v="5.7901610796691337E-2"/>
    <n v="0.23308270676691728"/>
    <n v="6.5471204188481673"/>
  </r>
  <r>
    <n v="876"/>
    <n v="22"/>
    <x v="1"/>
    <x v="4"/>
    <s v="CMP106"/>
    <x v="4"/>
    <n v="3640"/>
    <n v="60"/>
    <n v="19"/>
    <n v="1558"/>
    <n v="391"/>
    <d v="2025-02-22T00:00:00"/>
    <n v="1.6483516483516484E-2"/>
    <n v="0.31666666666666665"/>
    <n v="2.9846547314578005"/>
  </r>
  <r>
    <n v="877"/>
    <n v="23"/>
    <x v="0"/>
    <x v="4"/>
    <s v="CMP100"/>
    <x v="1"/>
    <n v="3864"/>
    <n v="58"/>
    <n v="19"/>
    <n v="3268"/>
    <n v="1610"/>
    <d v="2025-01-26T00:00:00"/>
    <n v="1.5010351966873706E-2"/>
    <n v="0.32758620689655171"/>
    <n v="1.0298136645962732"/>
  </r>
  <r>
    <n v="878"/>
    <n v="41"/>
    <x v="1"/>
    <x v="4"/>
    <s v="CMP102"/>
    <x v="2"/>
    <n v="1672"/>
    <n v="426"/>
    <n v="15"/>
    <n v="2265"/>
    <n v="621"/>
    <d v="2025-04-29T00:00:00"/>
    <n v="0.25478468899521534"/>
    <n v="3.5211267605633804E-2"/>
    <n v="2.6473429951690823"/>
  </r>
  <r>
    <n v="879"/>
    <n v="51"/>
    <x v="0"/>
    <x v="5"/>
    <s v="CMP108"/>
    <x v="0"/>
    <n v="4097"/>
    <n v="63"/>
    <n v="14"/>
    <n v="1638"/>
    <n v="1875"/>
    <d v="2025-01-10T00:00:00"/>
    <n v="1.5377105198926043E-2"/>
    <n v="0.22222222222222221"/>
    <n v="-0.12640000000000001"/>
  </r>
  <r>
    <n v="880"/>
    <n v="18"/>
    <x v="1"/>
    <x v="0"/>
    <s v="CMP106"/>
    <x v="1"/>
    <n v="2436"/>
    <n v="194"/>
    <n v="71"/>
    <n v="12354"/>
    <n v="1157"/>
    <d v="2025-01-04T00:00:00"/>
    <n v="7.9638752052545156E-2"/>
    <n v="0.36597938144329895"/>
    <n v="9.677614520311149"/>
  </r>
  <r>
    <n v="881"/>
    <n v="36"/>
    <x v="0"/>
    <x v="2"/>
    <s v="CMP101"/>
    <x v="2"/>
    <n v="3485"/>
    <n v="446"/>
    <n v="8"/>
    <n v="1184"/>
    <n v="1049"/>
    <d v="2025-01-12T00:00:00"/>
    <n v="0.12797704447632713"/>
    <n v="1.7937219730941704E-2"/>
    <n v="0.12869399428026693"/>
  </r>
  <r>
    <n v="882"/>
    <n v="28"/>
    <x v="1"/>
    <x v="1"/>
    <s v="CMP108"/>
    <x v="2"/>
    <n v="829"/>
    <n v="403"/>
    <n v="10"/>
    <n v="1300"/>
    <n v="591"/>
    <d v="2025-01-12T00:00:00"/>
    <n v="0.48612786489746684"/>
    <n v="2.4813895781637719E-2"/>
    <n v="1.1996615905245347"/>
  </r>
  <r>
    <n v="883"/>
    <n v="53"/>
    <x v="1"/>
    <x v="5"/>
    <s v="CMP109"/>
    <x v="2"/>
    <n v="3067"/>
    <n v="299"/>
    <n v="15"/>
    <n v="1980"/>
    <n v="835"/>
    <d v="2025-03-26T00:00:00"/>
    <n v="9.7489403325725463E-2"/>
    <n v="5.016722408026756E-2"/>
    <n v="1.3712574850299402"/>
  </r>
  <r>
    <n v="884"/>
    <n v="29"/>
    <x v="0"/>
    <x v="3"/>
    <s v="CMP105"/>
    <x v="2"/>
    <n v="2759"/>
    <n v="161"/>
    <n v="12"/>
    <n v="2064"/>
    <n v="1003"/>
    <d v="2025-04-24T00:00:00"/>
    <n v="5.8354476259514315E-2"/>
    <n v="7.4534161490683232E-2"/>
    <n v="1.0578265204386839"/>
  </r>
  <r>
    <n v="885"/>
    <n v="37"/>
    <x v="0"/>
    <x v="5"/>
    <s v="CMP107"/>
    <x v="4"/>
    <n v="1353"/>
    <n v="198"/>
    <n v="54"/>
    <n v="6372"/>
    <n v="677"/>
    <d v="2025-03-28T00:00:00"/>
    <n v="0.14634146341463414"/>
    <n v="0.27272727272727271"/>
    <n v="8.4121122599704581"/>
  </r>
  <r>
    <n v="886"/>
    <n v="39"/>
    <x v="0"/>
    <x v="4"/>
    <s v="CMP109"/>
    <x v="0"/>
    <n v="4730"/>
    <n v="442"/>
    <n v="5"/>
    <n v="585"/>
    <n v="609"/>
    <d v="2025-04-29T00:00:00"/>
    <n v="9.3446088794926011E-2"/>
    <n v="1.1312217194570135E-2"/>
    <n v="-3.9408866995073892E-2"/>
  </r>
  <r>
    <n v="887"/>
    <n v="41"/>
    <x v="0"/>
    <x v="1"/>
    <s v="CMP102"/>
    <x v="0"/>
    <n v="1969"/>
    <n v="427"/>
    <n v="10"/>
    <n v="1300"/>
    <n v="1880"/>
    <d v="2025-01-10T00:00:00"/>
    <n v="0.21686135093956324"/>
    <n v="2.3419203747072601E-2"/>
    <n v="-0.30851063829787234"/>
  </r>
  <r>
    <n v="888"/>
    <n v="41"/>
    <x v="0"/>
    <x v="5"/>
    <s v="CMP100"/>
    <x v="2"/>
    <n v="569"/>
    <n v="390"/>
    <n v="61"/>
    <n v="7198"/>
    <n v="1605"/>
    <d v="2025-02-28T00:00:00"/>
    <n v="0.68541300527240778"/>
    <n v="0.15641025641025641"/>
    <n v="3.484735202492212"/>
  </r>
  <r>
    <n v="889"/>
    <n v="27"/>
    <x v="0"/>
    <x v="4"/>
    <s v="CMP108"/>
    <x v="1"/>
    <n v="3279"/>
    <n v="362"/>
    <n v="52"/>
    <n v="5512"/>
    <n v="1521"/>
    <d v="2025-02-21T00:00:00"/>
    <n v="0.11039951204635559"/>
    <n v="0.143646408839779"/>
    <n v="2.6239316239316239"/>
  </r>
  <r>
    <n v="890"/>
    <n v="40"/>
    <x v="0"/>
    <x v="2"/>
    <s v="CMP106"/>
    <x v="4"/>
    <n v="4365"/>
    <n v="74"/>
    <n v="79"/>
    <n v="13983"/>
    <n v="990"/>
    <d v="2025-04-14T00:00:00"/>
    <n v="1.6953035509736539E-2"/>
    <n v="1.0675675675675675"/>
    <n v="13.124242424242425"/>
  </r>
  <r>
    <n v="891"/>
    <n v="50"/>
    <x v="0"/>
    <x v="3"/>
    <s v="CMP104"/>
    <x v="2"/>
    <n v="4884"/>
    <n v="262"/>
    <n v="6"/>
    <n v="756"/>
    <n v="729"/>
    <d v="2025-04-08T00:00:00"/>
    <n v="5.3644553644553644E-2"/>
    <n v="2.2900763358778626E-2"/>
    <n v="3.7037037037037035E-2"/>
  </r>
  <r>
    <n v="892"/>
    <n v="35"/>
    <x v="0"/>
    <x v="5"/>
    <s v="CMP107"/>
    <x v="3"/>
    <n v="1095"/>
    <n v="340"/>
    <n v="55"/>
    <n v="10835"/>
    <n v="1081"/>
    <d v="2025-03-13T00:00:00"/>
    <n v="0.31050228310502281"/>
    <n v="0.16176470588235295"/>
    <n v="9.0231267345050874"/>
  </r>
  <r>
    <n v="893"/>
    <n v="40"/>
    <x v="1"/>
    <x v="1"/>
    <s v="CMP103"/>
    <x v="4"/>
    <n v="4464"/>
    <n v="79"/>
    <n v="48"/>
    <n v="4272"/>
    <n v="508"/>
    <d v="2025-02-18T00:00:00"/>
    <n v="1.7697132616487456E-2"/>
    <n v="0.60759493670886078"/>
    <n v="7.409448818897638"/>
  </r>
  <r>
    <n v="894"/>
    <n v="50"/>
    <x v="0"/>
    <x v="5"/>
    <s v="CMP107"/>
    <x v="3"/>
    <n v="638"/>
    <n v="243"/>
    <n v="62"/>
    <n v="7130"/>
    <n v="1441"/>
    <d v="2025-03-30T00:00:00"/>
    <n v="0.38087774294670845"/>
    <n v="0.2551440329218107"/>
    <n v="3.9479528105482302"/>
  </r>
  <r>
    <n v="895"/>
    <n v="33"/>
    <x v="0"/>
    <x v="5"/>
    <s v="CMP100"/>
    <x v="2"/>
    <n v="3613"/>
    <n v="452"/>
    <n v="23"/>
    <n v="2346"/>
    <n v="1153"/>
    <d v="2025-01-12T00:00:00"/>
    <n v="0.12510379186271797"/>
    <n v="5.0884955752212392E-2"/>
    <n v="1.0346921075455333"/>
  </r>
  <r>
    <n v="896"/>
    <n v="22"/>
    <x v="0"/>
    <x v="0"/>
    <s v="CMP109"/>
    <x v="1"/>
    <n v="1045"/>
    <n v="358"/>
    <n v="12"/>
    <n v="1632"/>
    <n v="1753"/>
    <d v="2025-01-30T00:00:00"/>
    <n v="0.34258373205741627"/>
    <n v="3.3519553072625698E-2"/>
    <n v="-6.9024529378208785E-2"/>
  </r>
  <r>
    <n v="897"/>
    <n v="29"/>
    <x v="1"/>
    <x v="3"/>
    <s v="CMP101"/>
    <x v="0"/>
    <n v="3753"/>
    <n v="62"/>
    <n v="33"/>
    <n v="5577"/>
    <n v="1482"/>
    <d v="2025-03-16T00:00:00"/>
    <n v="1.65201172395417E-2"/>
    <n v="0.532258064516129"/>
    <n v="2.763157894736842"/>
  </r>
  <r>
    <n v="898"/>
    <n v="24"/>
    <x v="0"/>
    <x v="2"/>
    <s v="CMP109"/>
    <x v="0"/>
    <n v="1631"/>
    <n v="205"/>
    <n v="6"/>
    <n v="1080"/>
    <n v="838"/>
    <d v="2025-03-31T00:00:00"/>
    <n v="0.12568976088289394"/>
    <n v="2.9268292682926831E-2"/>
    <n v="0.28878281622911695"/>
  </r>
  <r>
    <n v="899"/>
    <n v="26"/>
    <x v="0"/>
    <x v="0"/>
    <s v="CMP104"/>
    <x v="4"/>
    <n v="3659"/>
    <n v="253"/>
    <n v="20"/>
    <n v="2380"/>
    <n v="1374"/>
    <d v="2025-01-13T00:00:00"/>
    <n v="6.9144575020497409E-2"/>
    <n v="7.9051383399209488E-2"/>
    <n v="0.73216885007278021"/>
  </r>
  <r>
    <n v="900"/>
    <n v="32"/>
    <x v="0"/>
    <x v="1"/>
    <s v="CMP109"/>
    <x v="0"/>
    <n v="3901"/>
    <n v="357"/>
    <n v="45"/>
    <n v="8505"/>
    <n v="1916"/>
    <d v="2025-04-30T00:00:00"/>
    <n v="9.1514996154832093E-2"/>
    <n v="0.12605042016806722"/>
    <n v="3.4389352818371606"/>
  </r>
  <r>
    <n v="901"/>
    <n v="32"/>
    <x v="0"/>
    <x v="5"/>
    <s v="CMP103"/>
    <x v="0"/>
    <n v="2298"/>
    <n v="89"/>
    <n v="32"/>
    <n v="5696"/>
    <n v="615"/>
    <d v="2025-03-26T00:00:00"/>
    <n v="3.8729329852045254E-2"/>
    <n v="0.3595505617977528"/>
    <n v="8.2617886178861788"/>
  </r>
  <r>
    <n v="902"/>
    <n v="43"/>
    <x v="0"/>
    <x v="2"/>
    <s v="CMP104"/>
    <x v="1"/>
    <n v="3257"/>
    <n v="114"/>
    <n v="8"/>
    <n v="1496"/>
    <n v="210"/>
    <d v="2025-01-23T00:00:00"/>
    <n v="3.500153515505066E-2"/>
    <n v="7.0175438596491224E-2"/>
    <n v="6.1238095238095234"/>
  </r>
  <r>
    <n v="903"/>
    <n v="33"/>
    <x v="1"/>
    <x v="1"/>
    <s v="CMP103"/>
    <x v="4"/>
    <n v="1744"/>
    <n v="390"/>
    <n v="44"/>
    <n v="4488"/>
    <n v="660"/>
    <d v="2025-04-14T00:00:00"/>
    <n v="0.22362385321100917"/>
    <n v="0.11282051282051282"/>
    <n v="5.8"/>
  </r>
  <r>
    <n v="904"/>
    <n v="45"/>
    <x v="0"/>
    <x v="1"/>
    <s v="CMP107"/>
    <x v="0"/>
    <n v="4952"/>
    <n v="305"/>
    <n v="13"/>
    <n v="1924"/>
    <n v="723"/>
    <d v="2025-04-09T00:00:00"/>
    <n v="6.1591276252019385E-2"/>
    <n v="4.2622950819672129E-2"/>
    <n v="1.6611341632088521"/>
  </r>
  <r>
    <n v="905"/>
    <n v="21"/>
    <x v="0"/>
    <x v="3"/>
    <s v="CMP104"/>
    <x v="3"/>
    <n v="696"/>
    <n v="415"/>
    <n v="62"/>
    <n v="9548"/>
    <n v="789"/>
    <d v="2025-02-02T00:00:00"/>
    <n v="0.59626436781609193"/>
    <n v="0.14939759036144579"/>
    <n v="11.101394169835235"/>
  </r>
  <r>
    <n v="906"/>
    <n v="27"/>
    <x v="0"/>
    <x v="5"/>
    <s v="CMP108"/>
    <x v="1"/>
    <n v="4666"/>
    <n v="105"/>
    <n v="76"/>
    <n v="9880"/>
    <n v="1324"/>
    <d v="2025-01-15T00:00:00"/>
    <n v="2.2503214744963567E-2"/>
    <n v="0.72380952380952379"/>
    <n v="6.4622356495468276"/>
  </r>
  <r>
    <n v="907"/>
    <n v="29"/>
    <x v="0"/>
    <x v="1"/>
    <s v="CMP105"/>
    <x v="4"/>
    <n v="2946"/>
    <n v="310"/>
    <n v="58"/>
    <n v="5162"/>
    <n v="506"/>
    <d v="2025-01-04T00:00:00"/>
    <n v="0.10522742701968771"/>
    <n v="0.18709677419354839"/>
    <n v="9.2015810276679844"/>
  </r>
  <r>
    <n v="908"/>
    <n v="29"/>
    <x v="0"/>
    <x v="0"/>
    <s v="CMP101"/>
    <x v="1"/>
    <n v="4485"/>
    <n v="385"/>
    <n v="40"/>
    <n v="6640"/>
    <n v="1504"/>
    <d v="2025-02-05T00:00:00"/>
    <n v="8.5841694537346705E-2"/>
    <n v="0.1038961038961039"/>
    <n v="3.4148936170212765"/>
  </r>
  <r>
    <n v="909"/>
    <n v="52"/>
    <x v="0"/>
    <x v="5"/>
    <s v="CMP108"/>
    <x v="4"/>
    <n v="4696"/>
    <n v="58"/>
    <n v="65"/>
    <n v="6305"/>
    <n v="1532"/>
    <d v="2025-04-29T00:00:00"/>
    <n v="1.2350936967632026E-2"/>
    <n v="1.1206896551724137"/>
    <n v="3.1155352480417755"/>
  </r>
  <r>
    <n v="910"/>
    <n v="32"/>
    <x v="1"/>
    <x v="5"/>
    <s v="CMP109"/>
    <x v="2"/>
    <n v="725"/>
    <n v="154"/>
    <n v="8"/>
    <n v="992"/>
    <n v="1648"/>
    <d v="2025-03-21T00:00:00"/>
    <n v="0.21241379310344827"/>
    <n v="5.1948051948051951E-2"/>
    <n v="-0.39805825242718446"/>
  </r>
  <r>
    <n v="911"/>
    <n v="43"/>
    <x v="0"/>
    <x v="2"/>
    <s v="CMP100"/>
    <x v="4"/>
    <n v="3640"/>
    <n v="403"/>
    <n v="5"/>
    <n v="875"/>
    <n v="1390"/>
    <d v="2025-04-22T00:00:00"/>
    <n v="0.11071428571428571"/>
    <n v="1.2406947890818859E-2"/>
    <n v="-0.37050359712230213"/>
  </r>
  <r>
    <n v="912"/>
    <n v="43"/>
    <x v="1"/>
    <x v="4"/>
    <s v="CMP100"/>
    <x v="1"/>
    <n v="750"/>
    <n v="396"/>
    <n v="39"/>
    <n v="4719"/>
    <n v="1909"/>
    <d v="2025-03-03T00:00:00"/>
    <n v="0.52800000000000002"/>
    <n v="9.8484848484848481E-2"/>
    <n v="1.4719748559455212"/>
  </r>
  <r>
    <n v="913"/>
    <n v="26"/>
    <x v="0"/>
    <x v="1"/>
    <s v="CMP103"/>
    <x v="2"/>
    <n v="1418"/>
    <n v="199"/>
    <n v="8"/>
    <n v="1104"/>
    <n v="632"/>
    <d v="2025-03-12T00:00:00"/>
    <n v="0.14033850493653033"/>
    <n v="4.0201005025125629E-2"/>
    <n v="0.74683544303797467"/>
  </r>
  <r>
    <n v="914"/>
    <n v="48"/>
    <x v="1"/>
    <x v="3"/>
    <s v="CMP107"/>
    <x v="4"/>
    <n v="2762"/>
    <n v="435"/>
    <n v="53"/>
    <n v="9699"/>
    <n v="671"/>
    <d v="2025-02-17T00:00:00"/>
    <n v="0.15749456915278784"/>
    <n v="0.12183908045977011"/>
    <n v="13.454545454545455"/>
  </r>
  <r>
    <n v="915"/>
    <n v="43"/>
    <x v="0"/>
    <x v="5"/>
    <s v="CMP108"/>
    <x v="2"/>
    <n v="1574"/>
    <n v="348"/>
    <n v="59"/>
    <n v="7552"/>
    <n v="1951"/>
    <d v="2025-04-21T00:00:00"/>
    <n v="0.22109275730622618"/>
    <n v="0.16954022988505746"/>
    <n v="2.8708354689902613"/>
  </r>
  <r>
    <n v="916"/>
    <n v="38"/>
    <x v="0"/>
    <x v="2"/>
    <s v="CMP107"/>
    <x v="2"/>
    <n v="3991"/>
    <n v="244"/>
    <n v="53"/>
    <n v="7102"/>
    <n v="787"/>
    <d v="2025-03-09T00:00:00"/>
    <n v="6.1137559508895011E-2"/>
    <n v="0.21721311475409835"/>
    <n v="8.024142312579416"/>
  </r>
  <r>
    <n v="917"/>
    <n v="37"/>
    <x v="0"/>
    <x v="4"/>
    <s v="CMP106"/>
    <x v="1"/>
    <n v="4434"/>
    <n v="93"/>
    <n v="35"/>
    <n v="5810"/>
    <n v="1921"/>
    <d v="2025-01-28T00:00:00"/>
    <n v="2.097428958051421E-2"/>
    <n v="0.37634408602150538"/>
    <n v="2.0244664237376369"/>
  </r>
  <r>
    <n v="918"/>
    <n v="30"/>
    <x v="0"/>
    <x v="3"/>
    <s v="CMP102"/>
    <x v="3"/>
    <n v="664"/>
    <n v="454"/>
    <n v="21"/>
    <n v="2436"/>
    <n v="1209"/>
    <d v="2025-01-30T00:00:00"/>
    <n v="0.6837349397590361"/>
    <n v="4.6255506607929514E-2"/>
    <n v="1.0148883374689825"/>
  </r>
  <r>
    <n v="919"/>
    <n v="37"/>
    <x v="0"/>
    <x v="2"/>
    <s v="CMP103"/>
    <x v="3"/>
    <n v="544"/>
    <n v="451"/>
    <n v="66"/>
    <n v="11814"/>
    <n v="619"/>
    <d v="2025-01-19T00:00:00"/>
    <n v="0.82904411764705888"/>
    <n v="0.14634146341463414"/>
    <n v="18.08562197092084"/>
  </r>
  <r>
    <n v="920"/>
    <n v="21"/>
    <x v="1"/>
    <x v="5"/>
    <s v="CMP101"/>
    <x v="4"/>
    <n v="864"/>
    <n v="349"/>
    <n v="11"/>
    <n v="1353"/>
    <n v="1984"/>
    <d v="2025-03-07T00:00:00"/>
    <n v="0.40393518518518517"/>
    <n v="3.151862464183381E-2"/>
    <n v="-0.31804435483870969"/>
  </r>
  <r>
    <n v="921"/>
    <n v="22"/>
    <x v="1"/>
    <x v="0"/>
    <s v="CMP109"/>
    <x v="2"/>
    <n v="4650"/>
    <n v="315"/>
    <n v="46"/>
    <n v="7176"/>
    <n v="1520"/>
    <d v="2025-01-10T00:00:00"/>
    <n v="6.7741935483870974E-2"/>
    <n v="0.14603174603174604"/>
    <n v="3.7210526315789472"/>
  </r>
  <r>
    <n v="922"/>
    <n v="18"/>
    <x v="0"/>
    <x v="1"/>
    <s v="CMP100"/>
    <x v="3"/>
    <n v="1881"/>
    <n v="493"/>
    <n v="55"/>
    <n v="4785"/>
    <n v="1628"/>
    <d v="2025-04-13T00:00:00"/>
    <n v="0.26209463051568316"/>
    <n v="0.11156186612576065"/>
    <n v="1.9391891891891893"/>
  </r>
  <r>
    <n v="923"/>
    <n v="26"/>
    <x v="0"/>
    <x v="1"/>
    <s v="CMP100"/>
    <x v="2"/>
    <n v="3649"/>
    <n v="134"/>
    <n v="34"/>
    <n v="4352"/>
    <n v="1948"/>
    <d v="2025-03-10T00:00:00"/>
    <n v="3.6722389695807073E-2"/>
    <n v="0.2537313432835821"/>
    <n v="1.2340862422997947"/>
  </r>
  <r>
    <n v="924"/>
    <n v="36"/>
    <x v="0"/>
    <x v="2"/>
    <s v="CMP103"/>
    <x v="0"/>
    <n v="3629"/>
    <n v="234"/>
    <n v="66"/>
    <n v="8646"/>
    <n v="678"/>
    <d v="2025-02-19T00:00:00"/>
    <n v="6.4480573160650312E-2"/>
    <n v="0.28205128205128205"/>
    <n v="11.752212389380531"/>
  </r>
  <r>
    <n v="925"/>
    <n v="27"/>
    <x v="1"/>
    <x v="0"/>
    <s v="CMP105"/>
    <x v="0"/>
    <n v="945"/>
    <n v="270"/>
    <n v="47"/>
    <n v="8789"/>
    <n v="1601"/>
    <d v="2025-02-26T00:00:00"/>
    <n v="0.2857142857142857"/>
    <n v="0.17407407407407408"/>
    <n v="4.4896939412866956"/>
  </r>
  <r>
    <n v="926"/>
    <n v="40"/>
    <x v="0"/>
    <x v="5"/>
    <s v="CMP103"/>
    <x v="4"/>
    <n v="4525"/>
    <n v="268"/>
    <n v="25"/>
    <n v="3975"/>
    <n v="291"/>
    <d v="2025-01-20T00:00:00"/>
    <n v="5.9226519337016573E-2"/>
    <n v="9.3283582089552244E-2"/>
    <n v="12.659793814432989"/>
  </r>
  <r>
    <n v="927"/>
    <n v="38"/>
    <x v="1"/>
    <x v="2"/>
    <s v="CMP101"/>
    <x v="0"/>
    <n v="3033"/>
    <n v="231"/>
    <n v="29"/>
    <n v="2436"/>
    <n v="355"/>
    <d v="2025-02-16T00:00:00"/>
    <n v="7.6162215628091001E-2"/>
    <n v="0.12554112554112554"/>
    <n v="5.8619718309859152"/>
  </r>
  <r>
    <n v="928"/>
    <n v="38"/>
    <x v="1"/>
    <x v="3"/>
    <s v="CMP102"/>
    <x v="4"/>
    <n v="4614"/>
    <n v="433"/>
    <n v="69"/>
    <n v="5658"/>
    <n v="436"/>
    <d v="2025-04-15T00:00:00"/>
    <n v="9.3844820112700483E-2"/>
    <n v="0.15935334872979215"/>
    <n v="11.977064220183486"/>
  </r>
  <r>
    <n v="929"/>
    <n v="37"/>
    <x v="0"/>
    <x v="5"/>
    <s v="CMP103"/>
    <x v="3"/>
    <n v="1051"/>
    <n v="372"/>
    <n v="29"/>
    <n v="5452"/>
    <n v="838"/>
    <d v="2025-02-13T00:00:00"/>
    <n v="0.35394862036156044"/>
    <n v="7.7956989247311828E-2"/>
    <n v="5.5059665871121721"/>
  </r>
  <r>
    <n v="930"/>
    <n v="23"/>
    <x v="1"/>
    <x v="4"/>
    <s v="CMP102"/>
    <x v="1"/>
    <n v="4437"/>
    <n v="233"/>
    <n v="59"/>
    <n v="9794"/>
    <n v="1591"/>
    <d v="2025-04-27T00:00:00"/>
    <n v="5.2512959206671171E-2"/>
    <n v="0.25321888412017168"/>
    <n v="5.1558768070395979"/>
  </r>
  <r>
    <n v="931"/>
    <n v="24"/>
    <x v="0"/>
    <x v="5"/>
    <s v="CMP105"/>
    <x v="1"/>
    <n v="2748"/>
    <n v="386"/>
    <n v="70"/>
    <n v="11340"/>
    <n v="474"/>
    <d v="2025-03-04T00:00:00"/>
    <n v="0.14046579330422126"/>
    <n v="0.18134715025906736"/>
    <n v="22.924050632911392"/>
  </r>
  <r>
    <n v="932"/>
    <n v="34"/>
    <x v="0"/>
    <x v="5"/>
    <s v="CMP101"/>
    <x v="2"/>
    <n v="4125"/>
    <n v="91"/>
    <n v="63"/>
    <n v="9576"/>
    <n v="987"/>
    <d v="2025-03-04T00:00:00"/>
    <n v="2.2060606060606062E-2"/>
    <n v="0.69230769230769229"/>
    <n v="8.7021276595744688"/>
  </r>
  <r>
    <n v="933"/>
    <n v="24"/>
    <x v="1"/>
    <x v="3"/>
    <s v="CMP100"/>
    <x v="2"/>
    <n v="2052"/>
    <n v="374"/>
    <n v="43"/>
    <n v="8428"/>
    <n v="1689"/>
    <d v="2025-02-08T00:00:00"/>
    <n v="0.18226120857699804"/>
    <n v="0.11497326203208556"/>
    <n v="3.9899348727057431"/>
  </r>
  <r>
    <n v="934"/>
    <n v="21"/>
    <x v="0"/>
    <x v="5"/>
    <s v="CMP107"/>
    <x v="0"/>
    <n v="3959"/>
    <n v="458"/>
    <n v="73"/>
    <n v="11315"/>
    <n v="1893"/>
    <d v="2025-01-29T00:00:00"/>
    <n v="0.11568577923718111"/>
    <n v="0.15938864628820962"/>
    <n v="4.9772847332276813"/>
  </r>
  <r>
    <n v="935"/>
    <n v="22"/>
    <x v="0"/>
    <x v="4"/>
    <s v="CMP101"/>
    <x v="2"/>
    <n v="2492"/>
    <n v="245"/>
    <n v="55"/>
    <n v="5115"/>
    <n v="1887"/>
    <d v="2025-02-11T00:00:00"/>
    <n v="9.8314606741573038E-2"/>
    <n v="0.22448979591836735"/>
    <n v="1.7106518282988872"/>
  </r>
  <r>
    <n v="936"/>
    <n v="28"/>
    <x v="0"/>
    <x v="0"/>
    <s v="CMP102"/>
    <x v="1"/>
    <n v="1222"/>
    <n v="317"/>
    <n v="21"/>
    <n v="3507"/>
    <n v="997"/>
    <d v="2025-01-23T00:00:00"/>
    <n v="0.25941080196399346"/>
    <n v="6.6246056782334389E-2"/>
    <n v="2.5175526579739218"/>
  </r>
  <r>
    <n v="937"/>
    <n v="32"/>
    <x v="0"/>
    <x v="5"/>
    <s v="CMP107"/>
    <x v="0"/>
    <n v="708"/>
    <n v="178"/>
    <n v="36"/>
    <n v="3168"/>
    <n v="451"/>
    <d v="2025-03-01T00:00:00"/>
    <n v="0.25141242937853109"/>
    <n v="0.20224719101123595"/>
    <n v="6.024390243902439"/>
  </r>
  <r>
    <n v="938"/>
    <n v="29"/>
    <x v="0"/>
    <x v="2"/>
    <s v="CMP103"/>
    <x v="3"/>
    <n v="2544"/>
    <n v="468"/>
    <n v="31"/>
    <n v="5828"/>
    <n v="1434"/>
    <d v="2025-03-06T00:00:00"/>
    <n v="0.18396226415094338"/>
    <n v="6.623931623931624E-2"/>
    <n v="3.0641562064156207"/>
  </r>
  <r>
    <n v="939"/>
    <n v="49"/>
    <x v="1"/>
    <x v="4"/>
    <s v="CMP106"/>
    <x v="2"/>
    <n v="3272"/>
    <n v="482"/>
    <n v="5"/>
    <n v="630"/>
    <n v="1745"/>
    <d v="2025-03-27T00:00:00"/>
    <n v="0.14731051344743276"/>
    <n v="1.0373443983402489E-2"/>
    <n v="-0.63896848137535822"/>
  </r>
  <r>
    <n v="940"/>
    <n v="35"/>
    <x v="1"/>
    <x v="0"/>
    <s v="CMP106"/>
    <x v="4"/>
    <n v="2403"/>
    <n v="479"/>
    <n v="36"/>
    <n v="6156"/>
    <n v="1250"/>
    <d v="2025-02-18T00:00:00"/>
    <n v="0.19933416562630046"/>
    <n v="7.5156576200417533E-2"/>
    <n v="3.9247999999999998"/>
  </r>
  <r>
    <n v="941"/>
    <n v="48"/>
    <x v="0"/>
    <x v="5"/>
    <s v="CMP101"/>
    <x v="1"/>
    <n v="1488"/>
    <n v="131"/>
    <n v="48"/>
    <n v="6384"/>
    <n v="1807"/>
    <d v="2025-03-12T00:00:00"/>
    <n v="8.8037634408602156E-2"/>
    <n v="0.36641221374045801"/>
    <n v="2.5329275041505257"/>
  </r>
  <r>
    <n v="942"/>
    <n v="26"/>
    <x v="0"/>
    <x v="5"/>
    <s v="CMP107"/>
    <x v="1"/>
    <n v="1925"/>
    <n v="87"/>
    <n v="63"/>
    <n v="5544"/>
    <n v="710"/>
    <d v="2025-02-20T00:00:00"/>
    <n v="4.5194805194805197E-2"/>
    <n v="0.72413793103448276"/>
    <n v="6.8084507042253524"/>
  </r>
  <r>
    <n v="943"/>
    <n v="47"/>
    <x v="1"/>
    <x v="4"/>
    <s v="CMP103"/>
    <x v="3"/>
    <n v="3094"/>
    <n v="131"/>
    <n v="9"/>
    <n v="1539"/>
    <n v="1621"/>
    <d v="2025-02-08T00:00:00"/>
    <n v="4.2340012928248225E-2"/>
    <n v="6.8702290076335881E-2"/>
    <n v="-5.0586057988895747E-2"/>
  </r>
  <r>
    <n v="944"/>
    <n v="19"/>
    <x v="0"/>
    <x v="1"/>
    <s v="CMP105"/>
    <x v="3"/>
    <n v="4039"/>
    <n v="497"/>
    <n v="29"/>
    <n v="4495"/>
    <n v="1635"/>
    <d v="2025-01-31T00:00:00"/>
    <n v="0.12305025996533796"/>
    <n v="5.8350100603621731E-2"/>
    <n v="1.7492354740061162"/>
  </r>
  <r>
    <n v="945"/>
    <n v="21"/>
    <x v="0"/>
    <x v="0"/>
    <s v="CMP107"/>
    <x v="3"/>
    <n v="3850"/>
    <n v="353"/>
    <n v="24"/>
    <n v="2808"/>
    <n v="1092"/>
    <d v="2025-03-30T00:00:00"/>
    <n v="9.1688311688311694E-2"/>
    <n v="6.79886685552408E-2"/>
    <n v="1.5714285714285714"/>
  </r>
  <r>
    <n v="946"/>
    <n v="29"/>
    <x v="1"/>
    <x v="5"/>
    <s v="CMP106"/>
    <x v="1"/>
    <n v="1658"/>
    <n v="234"/>
    <n v="16"/>
    <n v="1344"/>
    <n v="817"/>
    <d v="2025-01-18T00:00:00"/>
    <n v="0.14113389626055489"/>
    <n v="6.8376068376068383E-2"/>
    <n v="0.64504283965728271"/>
  </r>
  <r>
    <n v="947"/>
    <n v="48"/>
    <x v="1"/>
    <x v="2"/>
    <s v="CMP102"/>
    <x v="3"/>
    <n v="2564"/>
    <n v="245"/>
    <n v="75"/>
    <n v="9000"/>
    <n v="517"/>
    <d v="2025-04-29T00:00:00"/>
    <n v="9.5553822152886117E-2"/>
    <n v="0.30612244897959184"/>
    <n v="16.408123791102515"/>
  </r>
  <r>
    <n v="948"/>
    <n v="51"/>
    <x v="1"/>
    <x v="2"/>
    <s v="CMP105"/>
    <x v="3"/>
    <n v="2522"/>
    <n v="168"/>
    <n v="38"/>
    <n v="7334"/>
    <n v="909"/>
    <d v="2025-02-19T00:00:00"/>
    <n v="6.6613798572561458E-2"/>
    <n v="0.22619047619047619"/>
    <n v="7.0682068206820681"/>
  </r>
  <r>
    <n v="949"/>
    <n v="39"/>
    <x v="0"/>
    <x v="3"/>
    <s v="CMP109"/>
    <x v="3"/>
    <n v="3928"/>
    <n v="465"/>
    <n v="71"/>
    <n v="11715"/>
    <n v="714"/>
    <d v="2025-02-20T00:00:00"/>
    <n v="0.11838085539714868"/>
    <n v="0.15268817204301074"/>
    <n v="15.407563025210084"/>
  </r>
  <r>
    <n v="950"/>
    <n v="30"/>
    <x v="1"/>
    <x v="0"/>
    <s v="CMP107"/>
    <x v="0"/>
    <n v="1008"/>
    <n v="381"/>
    <n v="52"/>
    <n v="4472"/>
    <n v="856"/>
    <d v="2025-03-07T00:00:00"/>
    <n v="0.37797619047619047"/>
    <n v="0.13648293963254593"/>
    <n v="4.2242990654205608"/>
  </r>
  <r>
    <n v="951"/>
    <n v="36"/>
    <x v="0"/>
    <x v="3"/>
    <s v="CMP104"/>
    <x v="4"/>
    <n v="3575"/>
    <n v="187"/>
    <n v="21"/>
    <n v="1785"/>
    <n v="1275"/>
    <d v="2025-04-06T00:00:00"/>
    <n v="5.2307692307692305E-2"/>
    <n v="0.11229946524064172"/>
    <n v="0.4"/>
  </r>
  <r>
    <n v="952"/>
    <n v="21"/>
    <x v="1"/>
    <x v="5"/>
    <s v="CMP107"/>
    <x v="3"/>
    <n v="2493"/>
    <n v="442"/>
    <n v="25"/>
    <n v="4525"/>
    <n v="735"/>
    <d v="2025-02-28T00:00:00"/>
    <n v="0.17729643000401124"/>
    <n v="5.6561085972850679E-2"/>
    <n v="5.1564625850340136"/>
  </r>
  <r>
    <n v="953"/>
    <n v="52"/>
    <x v="0"/>
    <x v="1"/>
    <s v="CMP107"/>
    <x v="3"/>
    <n v="4854"/>
    <n v="373"/>
    <n v="44"/>
    <n v="5852"/>
    <n v="887"/>
    <d v="2025-04-18T00:00:00"/>
    <n v="7.6843840131850027E-2"/>
    <n v="0.11796246648793565"/>
    <n v="5.5975197294250281"/>
  </r>
  <r>
    <n v="954"/>
    <n v="44"/>
    <x v="0"/>
    <x v="5"/>
    <s v="CMP105"/>
    <x v="3"/>
    <n v="3867"/>
    <n v="373"/>
    <n v="50"/>
    <n v="4600"/>
    <n v="1045"/>
    <d v="2025-01-17T00:00:00"/>
    <n v="9.6457201965347808E-2"/>
    <n v="0.13404825737265416"/>
    <n v="3.401913875598086"/>
  </r>
  <r>
    <n v="955"/>
    <n v="19"/>
    <x v="0"/>
    <x v="0"/>
    <s v="CMP103"/>
    <x v="4"/>
    <n v="2267"/>
    <n v="290"/>
    <n v="6"/>
    <n v="936"/>
    <n v="1984"/>
    <d v="2025-04-02T00:00:00"/>
    <n v="0.12792236435818263"/>
    <n v="2.0689655172413793E-2"/>
    <n v="-0.52822580645161288"/>
  </r>
  <r>
    <n v="956"/>
    <n v="29"/>
    <x v="0"/>
    <x v="3"/>
    <s v="CMP107"/>
    <x v="0"/>
    <n v="4766"/>
    <n v="71"/>
    <n v="59"/>
    <n v="10502"/>
    <n v="1034"/>
    <d v="2025-03-10T00:00:00"/>
    <n v="1.4897188417960554E-2"/>
    <n v="0.83098591549295775"/>
    <n v="9.156673114119922"/>
  </r>
  <r>
    <n v="957"/>
    <n v="29"/>
    <x v="1"/>
    <x v="5"/>
    <s v="CMP107"/>
    <x v="3"/>
    <n v="4186"/>
    <n v="88"/>
    <n v="17"/>
    <n v="3196"/>
    <n v="892"/>
    <d v="2025-03-15T00:00:00"/>
    <n v="2.10224558050645E-2"/>
    <n v="0.19318181818181818"/>
    <n v="2.5829596412556053"/>
  </r>
  <r>
    <n v="958"/>
    <n v="22"/>
    <x v="0"/>
    <x v="2"/>
    <s v="CMP109"/>
    <x v="2"/>
    <n v="4457"/>
    <n v="385"/>
    <n v="49"/>
    <n v="4018"/>
    <n v="1770"/>
    <d v="2025-01-11T00:00:00"/>
    <n v="8.6380973749158624E-2"/>
    <n v="0.12727272727272726"/>
    <n v="1.2700564971751414"/>
  </r>
  <r>
    <n v="959"/>
    <n v="20"/>
    <x v="1"/>
    <x v="0"/>
    <s v="CMP107"/>
    <x v="3"/>
    <n v="2417"/>
    <n v="376"/>
    <n v="60"/>
    <n v="6780"/>
    <n v="1339"/>
    <d v="2025-01-31T00:00:00"/>
    <n v="0.15556474968969797"/>
    <n v="0.15957446808510639"/>
    <n v="4.0634802091112769"/>
  </r>
  <r>
    <n v="960"/>
    <n v="37"/>
    <x v="0"/>
    <x v="1"/>
    <s v="CMP108"/>
    <x v="3"/>
    <n v="4576"/>
    <n v="115"/>
    <n v="74"/>
    <n v="8214"/>
    <n v="646"/>
    <d v="2025-04-08T00:00:00"/>
    <n v="2.513111888111888E-2"/>
    <n v="0.64347826086956517"/>
    <n v="11.715170278637771"/>
  </r>
  <r>
    <n v="961"/>
    <n v="23"/>
    <x v="0"/>
    <x v="3"/>
    <s v="CMP106"/>
    <x v="2"/>
    <n v="3258"/>
    <n v="88"/>
    <n v="21"/>
    <n v="1890"/>
    <n v="1780"/>
    <d v="2025-04-01T00:00:00"/>
    <n v="2.7010435850214856E-2"/>
    <n v="0.23863636363636365"/>
    <n v="6.1797752808988762E-2"/>
  </r>
  <r>
    <n v="962"/>
    <n v="42"/>
    <x v="0"/>
    <x v="0"/>
    <s v="CMP100"/>
    <x v="4"/>
    <n v="1593"/>
    <n v="215"/>
    <n v="6"/>
    <n v="978"/>
    <n v="413"/>
    <d v="2025-04-03T00:00:00"/>
    <n v="0.13496547394852479"/>
    <n v="2.7906976744186046E-2"/>
    <n v="1.3680387409200969"/>
  </r>
  <r>
    <n v="963"/>
    <n v="39"/>
    <x v="0"/>
    <x v="2"/>
    <s v="CMP101"/>
    <x v="4"/>
    <n v="2107"/>
    <n v="214"/>
    <n v="53"/>
    <n v="5936"/>
    <n v="1275"/>
    <d v="2025-04-21T00:00:00"/>
    <n v="0.10156620787850024"/>
    <n v="0.24766355140186916"/>
    <n v="3.655686274509804"/>
  </r>
  <r>
    <n v="964"/>
    <n v="54"/>
    <x v="0"/>
    <x v="0"/>
    <s v="CMP102"/>
    <x v="2"/>
    <n v="2680"/>
    <n v="323"/>
    <n v="42"/>
    <n v="8232"/>
    <n v="1597"/>
    <d v="2025-04-05T00:00:00"/>
    <n v="0.12052238805970149"/>
    <n v="0.13003095975232198"/>
    <n v="4.1546649968691298"/>
  </r>
  <r>
    <n v="965"/>
    <n v="35"/>
    <x v="0"/>
    <x v="5"/>
    <s v="CMP106"/>
    <x v="1"/>
    <n v="1331"/>
    <n v="187"/>
    <n v="46"/>
    <n v="5842"/>
    <n v="1858"/>
    <d v="2025-04-07T00:00:00"/>
    <n v="0.14049586776859505"/>
    <n v="0.24598930481283424"/>
    <n v="2.1442411194833153"/>
  </r>
  <r>
    <n v="966"/>
    <n v="19"/>
    <x v="1"/>
    <x v="2"/>
    <s v="CMP108"/>
    <x v="1"/>
    <n v="2563"/>
    <n v="359"/>
    <n v="39"/>
    <n v="4173"/>
    <n v="1833"/>
    <d v="2025-03-21T00:00:00"/>
    <n v="0.14007023019898557"/>
    <n v="0.10863509749303621"/>
    <n v="1.2765957446808511"/>
  </r>
  <r>
    <n v="967"/>
    <n v="37"/>
    <x v="1"/>
    <x v="0"/>
    <s v="CMP107"/>
    <x v="4"/>
    <n v="3946"/>
    <n v="141"/>
    <n v="57"/>
    <n v="7068"/>
    <n v="942"/>
    <d v="2025-03-02T00:00:00"/>
    <n v="3.5732387227572222E-2"/>
    <n v="0.40425531914893614"/>
    <n v="6.5031847133757958"/>
  </r>
  <r>
    <n v="968"/>
    <n v="22"/>
    <x v="1"/>
    <x v="0"/>
    <s v="CMP106"/>
    <x v="3"/>
    <n v="4433"/>
    <n v="363"/>
    <n v="31"/>
    <n v="2666"/>
    <n v="327"/>
    <d v="2025-04-02T00:00:00"/>
    <n v="8.1885856079404462E-2"/>
    <n v="8.5399449035812675E-2"/>
    <n v="7.1529051987767582"/>
  </r>
  <r>
    <n v="969"/>
    <n v="36"/>
    <x v="0"/>
    <x v="2"/>
    <s v="CMP108"/>
    <x v="0"/>
    <n v="4136"/>
    <n v="448"/>
    <n v="30"/>
    <n v="5220"/>
    <n v="759"/>
    <d v="2025-03-05T00:00:00"/>
    <n v="0.10831721470019343"/>
    <n v="6.6964285714285712E-2"/>
    <n v="5.8774703557312256"/>
  </r>
  <r>
    <n v="970"/>
    <n v="20"/>
    <x v="1"/>
    <x v="2"/>
    <s v="CMP107"/>
    <x v="1"/>
    <n v="848"/>
    <n v="231"/>
    <n v="55"/>
    <n v="4565"/>
    <n v="1262"/>
    <d v="2025-03-05T00:00:00"/>
    <n v="0.27240566037735847"/>
    <n v="0.23809523809523808"/>
    <n v="2.6172741679873219"/>
  </r>
  <r>
    <n v="971"/>
    <n v="28"/>
    <x v="1"/>
    <x v="4"/>
    <s v="CMP100"/>
    <x v="1"/>
    <n v="4624"/>
    <n v="421"/>
    <n v="15"/>
    <n v="2715"/>
    <n v="296"/>
    <d v="2025-01-21T00:00:00"/>
    <n v="9.1046712802768159E-2"/>
    <n v="3.5629453681710214E-2"/>
    <n v="8.1722972972972965"/>
  </r>
  <r>
    <n v="972"/>
    <n v="28"/>
    <x v="0"/>
    <x v="1"/>
    <s v="CMP101"/>
    <x v="0"/>
    <n v="1625"/>
    <n v="95"/>
    <n v="70"/>
    <n v="8050"/>
    <n v="802"/>
    <d v="2025-03-06T00:00:00"/>
    <n v="5.8461538461538461E-2"/>
    <n v="0.73684210526315785"/>
    <n v="9.037406483790523"/>
  </r>
  <r>
    <n v="973"/>
    <n v="18"/>
    <x v="0"/>
    <x v="0"/>
    <s v="CMP108"/>
    <x v="1"/>
    <n v="946"/>
    <n v="148"/>
    <n v="39"/>
    <n v="4173"/>
    <n v="870"/>
    <d v="2025-02-12T00:00:00"/>
    <n v="0.15644820295983086"/>
    <n v="0.26351351351351349"/>
    <n v="3.796551724137931"/>
  </r>
  <r>
    <n v="974"/>
    <n v="27"/>
    <x v="0"/>
    <x v="1"/>
    <s v="CMP104"/>
    <x v="3"/>
    <n v="1095"/>
    <n v="240"/>
    <n v="55"/>
    <n v="10285"/>
    <n v="409"/>
    <d v="2025-01-09T00:00:00"/>
    <n v="0.21917808219178081"/>
    <n v="0.22916666666666666"/>
    <n v="24.146699266503667"/>
  </r>
  <r>
    <n v="975"/>
    <n v="29"/>
    <x v="1"/>
    <x v="2"/>
    <s v="CMP103"/>
    <x v="0"/>
    <n v="4501"/>
    <n v="237"/>
    <n v="65"/>
    <n v="5785"/>
    <n v="1638"/>
    <d v="2025-04-28T00:00:00"/>
    <n v="5.2654965563208173E-2"/>
    <n v="0.27426160337552741"/>
    <n v="2.5317460317460316"/>
  </r>
  <r>
    <n v="976"/>
    <n v="20"/>
    <x v="1"/>
    <x v="1"/>
    <s v="CMP109"/>
    <x v="2"/>
    <n v="2632"/>
    <n v="98"/>
    <n v="74"/>
    <n v="9472"/>
    <n v="1207"/>
    <d v="2025-01-05T00:00:00"/>
    <n v="3.7234042553191488E-2"/>
    <n v="0.75510204081632648"/>
    <n v="6.8475559237779615"/>
  </r>
  <r>
    <n v="977"/>
    <n v="43"/>
    <x v="0"/>
    <x v="4"/>
    <s v="CMP107"/>
    <x v="3"/>
    <n v="1505"/>
    <n v="267"/>
    <n v="65"/>
    <n v="10985"/>
    <n v="1204"/>
    <d v="2025-01-05T00:00:00"/>
    <n v="0.17740863787375416"/>
    <n v="0.24344569288389514"/>
    <n v="8.1237541528239205"/>
  </r>
  <r>
    <n v="978"/>
    <n v="54"/>
    <x v="1"/>
    <x v="0"/>
    <s v="CMP102"/>
    <x v="1"/>
    <n v="4866"/>
    <n v="172"/>
    <n v="20"/>
    <n v="1900"/>
    <n v="1480"/>
    <d v="2025-02-21T00:00:00"/>
    <n v="3.5347307850390468E-2"/>
    <n v="0.11627906976744186"/>
    <n v="0.28378378378378377"/>
  </r>
  <r>
    <n v="979"/>
    <n v="19"/>
    <x v="1"/>
    <x v="2"/>
    <s v="CMP105"/>
    <x v="1"/>
    <n v="1024"/>
    <n v="425"/>
    <n v="59"/>
    <n v="5900"/>
    <n v="946"/>
    <d v="2025-01-27T00:00:00"/>
    <n v="0.4150390625"/>
    <n v="0.13882352941176471"/>
    <n v="5.2367864693446089"/>
  </r>
  <r>
    <n v="980"/>
    <n v="42"/>
    <x v="0"/>
    <x v="5"/>
    <s v="CMP107"/>
    <x v="0"/>
    <n v="4249"/>
    <n v="139"/>
    <n v="62"/>
    <n v="7750"/>
    <n v="557"/>
    <d v="2025-01-08T00:00:00"/>
    <n v="3.2713579665803717E-2"/>
    <n v="0.4460431654676259"/>
    <n v="12.913824057450629"/>
  </r>
  <r>
    <n v="981"/>
    <n v="38"/>
    <x v="1"/>
    <x v="2"/>
    <s v="CMP107"/>
    <x v="3"/>
    <n v="3770"/>
    <n v="369"/>
    <n v="25"/>
    <n v="4850"/>
    <n v="399"/>
    <d v="2025-01-20T00:00:00"/>
    <n v="9.7877984084880632E-2"/>
    <n v="6.7750677506775062E-2"/>
    <n v="11.155388471177945"/>
  </r>
  <r>
    <n v="982"/>
    <n v="46"/>
    <x v="0"/>
    <x v="3"/>
    <s v="CMP108"/>
    <x v="2"/>
    <n v="2811"/>
    <n v="107"/>
    <n v="50"/>
    <n v="9650"/>
    <n v="230"/>
    <d v="2025-01-15T00:00:00"/>
    <n v="3.8064745642120243E-2"/>
    <n v="0.46728971962616822"/>
    <n v="40.956521739130437"/>
  </r>
  <r>
    <n v="983"/>
    <n v="54"/>
    <x v="1"/>
    <x v="3"/>
    <s v="CMP105"/>
    <x v="0"/>
    <n v="1917"/>
    <n v="334"/>
    <n v="40"/>
    <n v="7520"/>
    <n v="1307"/>
    <d v="2025-03-12T00:00:00"/>
    <n v="0.17423056859676578"/>
    <n v="0.11976047904191617"/>
    <n v="4.7536342769701605"/>
  </r>
  <r>
    <n v="984"/>
    <n v="48"/>
    <x v="0"/>
    <x v="5"/>
    <s v="CMP104"/>
    <x v="0"/>
    <n v="4315"/>
    <n v="142"/>
    <n v="32"/>
    <n v="3744"/>
    <n v="631"/>
    <d v="2025-04-07T00:00:00"/>
    <n v="3.2908458864426421E-2"/>
    <n v="0.22535211267605634"/>
    <n v="4.9334389857369256"/>
  </r>
  <r>
    <n v="985"/>
    <n v="25"/>
    <x v="0"/>
    <x v="2"/>
    <s v="CMP106"/>
    <x v="0"/>
    <n v="3820"/>
    <n v="140"/>
    <n v="33"/>
    <n v="5643"/>
    <n v="1187"/>
    <d v="2025-04-03T00:00:00"/>
    <n v="3.6649214659685861E-2"/>
    <n v="0.23571428571428571"/>
    <n v="3.7540016849199662"/>
  </r>
  <r>
    <n v="986"/>
    <n v="44"/>
    <x v="1"/>
    <x v="2"/>
    <s v="CMP109"/>
    <x v="3"/>
    <n v="3960"/>
    <n v="91"/>
    <n v="11"/>
    <n v="1265"/>
    <n v="1265"/>
    <d v="2025-02-15T00:00:00"/>
    <n v="2.2979797979797979E-2"/>
    <n v="0.12087912087912088"/>
    <n v="0"/>
  </r>
  <r>
    <n v="987"/>
    <n v="40"/>
    <x v="0"/>
    <x v="2"/>
    <s v="CMP109"/>
    <x v="3"/>
    <n v="3381"/>
    <n v="74"/>
    <n v="77"/>
    <n v="6160"/>
    <n v="1122"/>
    <d v="2025-02-11T00:00:00"/>
    <n v="2.188701567583555E-2"/>
    <n v="1.0405405405405406"/>
    <n v="4.4901960784313726"/>
  </r>
  <r>
    <n v="988"/>
    <n v="23"/>
    <x v="1"/>
    <x v="1"/>
    <s v="CMP109"/>
    <x v="0"/>
    <n v="1447"/>
    <n v="202"/>
    <n v="58"/>
    <n v="8468"/>
    <n v="1348"/>
    <d v="2025-03-11T00:00:00"/>
    <n v="0.13959917069799585"/>
    <n v="0.28712871287128711"/>
    <n v="5.2818991097922847"/>
  </r>
  <r>
    <n v="989"/>
    <n v="40"/>
    <x v="1"/>
    <x v="0"/>
    <s v="CMP101"/>
    <x v="0"/>
    <n v="1064"/>
    <n v="115"/>
    <n v="62"/>
    <n v="9982"/>
    <n v="705"/>
    <d v="2025-03-17T00:00:00"/>
    <n v="0.10808270676691729"/>
    <n v="0.53913043478260869"/>
    <n v="13.158865248226951"/>
  </r>
  <r>
    <n v="990"/>
    <n v="18"/>
    <x v="1"/>
    <x v="2"/>
    <s v="CMP100"/>
    <x v="0"/>
    <n v="1304"/>
    <n v="453"/>
    <n v="28"/>
    <n v="4564"/>
    <n v="1591"/>
    <d v="2025-03-22T00:00:00"/>
    <n v="0.34739263803680981"/>
    <n v="6.1810154525386317E-2"/>
    <n v="1.8686360779384035"/>
  </r>
  <r>
    <n v="991"/>
    <n v="28"/>
    <x v="1"/>
    <x v="4"/>
    <s v="CMP107"/>
    <x v="3"/>
    <n v="4049"/>
    <n v="154"/>
    <n v="7"/>
    <n v="938"/>
    <n v="245"/>
    <d v="2025-03-27T00:00:00"/>
    <n v="3.803408248950358E-2"/>
    <n v="4.5454545454545456E-2"/>
    <n v="2.8285714285714287"/>
  </r>
  <r>
    <n v="992"/>
    <n v="52"/>
    <x v="0"/>
    <x v="1"/>
    <s v="CMP107"/>
    <x v="4"/>
    <n v="2336"/>
    <n v="459"/>
    <n v="69"/>
    <n v="10557"/>
    <n v="735"/>
    <d v="2025-01-28T00:00:00"/>
    <n v="0.19648972602739725"/>
    <n v="0.15032679738562091"/>
    <n v="13.363265306122448"/>
  </r>
  <r>
    <n v="993"/>
    <n v="32"/>
    <x v="0"/>
    <x v="5"/>
    <s v="CMP108"/>
    <x v="2"/>
    <n v="2007"/>
    <n v="65"/>
    <n v="63"/>
    <n v="8379"/>
    <n v="442"/>
    <d v="2025-04-08T00:00:00"/>
    <n v="3.2386646736422518E-2"/>
    <n v="0.96923076923076923"/>
    <n v="17.957013574660632"/>
  </r>
  <r>
    <n v="994"/>
    <n v="52"/>
    <x v="1"/>
    <x v="2"/>
    <s v="CMP109"/>
    <x v="2"/>
    <n v="3252"/>
    <n v="384"/>
    <n v="72"/>
    <n v="10656"/>
    <n v="1522"/>
    <d v="2025-03-16T00:00:00"/>
    <n v="0.11808118081180811"/>
    <n v="0.1875"/>
    <n v="6.0013140604467807"/>
  </r>
  <r>
    <n v="995"/>
    <n v="40"/>
    <x v="0"/>
    <x v="2"/>
    <s v="CMP106"/>
    <x v="2"/>
    <n v="2005"/>
    <n v="152"/>
    <n v="45"/>
    <n v="5805"/>
    <n v="1201"/>
    <d v="2025-02-28T00:00:00"/>
    <n v="7.5810473815461341E-2"/>
    <n v="0.29605263157894735"/>
    <n v="3.8334721065778519"/>
  </r>
  <r>
    <n v="996"/>
    <n v="50"/>
    <x v="0"/>
    <x v="2"/>
    <s v="CMP104"/>
    <x v="2"/>
    <n v="4854"/>
    <n v="253"/>
    <n v="11"/>
    <n v="1155"/>
    <n v="248"/>
    <d v="2025-02-17T00:00:00"/>
    <n v="5.2121961269056445E-2"/>
    <n v="4.3478260869565216E-2"/>
    <n v="3.657258064516129"/>
  </r>
  <r>
    <n v="997"/>
    <n v="53"/>
    <x v="1"/>
    <x v="5"/>
    <s v="CMP100"/>
    <x v="2"/>
    <n v="3002"/>
    <n v="465"/>
    <n v="8"/>
    <n v="1544"/>
    <n v="475"/>
    <d v="2025-03-01T00:00:00"/>
    <n v="0.15489673550966024"/>
    <n v="1.7204301075268817E-2"/>
    <n v="2.2505263157894735"/>
  </r>
  <r>
    <n v="998"/>
    <n v="42"/>
    <x v="0"/>
    <x v="2"/>
    <s v="CMP109"/>
    <x v="0"/>
    <n v="1046"/>
    <n v="161"/>
    <n v="34"/>
    <n v="3910"/>
    <n v="1533"/>
    <d v="2025-03-24T00:00:00"/>
    <n v="0.15391969407265774"/>
    <n v="0.21118012422360249"/>
    <n v="1.5505544683626875"/>
  </r>
  <r>
    <n v="999"/>
    <n v="54"/>
    <x v="0"/>
    <x v="1"/>
    <s v="CMP104"/>
    <x v="0"/>
    <n v="2100"/>
    <n v="374"/>
    <n v="55"/>
    <n v="9185"/>
    <n v="1757"/>
    <d v="2025-04-10T00:00:00"/>
    <n v="0.17809523809523808"/>
    <n v="0.14705882352941177"/>
    <n v="4.2276607854297099"/>
  </r>
  <r>
    <n v="1000"/>
    <n v="33"/>
    <x v="1"/>
    <x v="4"/>
    <s v="CMP108"/>
    <x v="4"/>
    <n v="2615"/>
    <n v="341"/>
    <n v="56"/>
    <n v="9016"/>
    <n v="380"/>
    <d v="2025-01-18T00:00:00"/>
    <n v="0.13040152963671128"/>
    <n v="0.16422287390029325"/>
    <n v="22.7263157894736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F8C50D-65D0-4945-85F5-59F6DE429FF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15">
    <pivotField showAll="0"/>
    <pivotField showAll="0"/>
    <pivotField showAll="0"/>
    <pivotField showAll="0"/>
    <pivotField showAll="0"/>
    <pivotField axis="axisRow" showAll="0">
      <items count="6">
        <item x="2"/>
        <item x="1"/>
        <item x="3"/>
        <item x="4"/>
        <item x="0"/>
        <item t="default"/>
      </items>
    </pivotField>
    <pivotField showAll="0"/>
    <pivotField showAll="0"/>
    <pivotField showAll="0"/>
    <pivotField dataField="1" numFmtId="164" showAll="0"/>
    <pivotField numFmtId="164" showAll="0"/>
    <pivotField numFmtId="14" showAll="0"/>
    <pivotField numFmtId="10" showAll="0"/>
    <pivotField numFmtId="10" showAll="0"/>
    <pivotField numFmtId="10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9" baseField="5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B390E2-0B13-48AB-B289-6CB0FE8040B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5"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numFmtId="164" showAll="0"/>
    <pivotField numFmtId="164" showAll="0"/>
    <pivotField numFmtId="14" showAll="0"/>
    <pivotField numFmtId="10" showAll="0"/>
    <pivotField numFmtId="10" showAll="0"/>
    <pivotField numFmtId="10"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 of Conversion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870C15-18DD-4293-82FB-D44EEAFD63F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15">
    <pivotField showAll="0"/>
    <pivotField showAll="0"/>
    <pivotField showAll="0"/>
    <pivotField axis="axisRow" showAll="0">
      <items count="7">
        <item x="4"/>
        <item x="5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dataField="1" numFmtId="164" showAll="0"/>
    <pivotField numFmtId="164" showAll="0"/>
    <pivotField numFmtId="14" showAll="0"/>
    <pivotField numFmtId="10" showAll="0"/>
    <pivotField numFmtId="10" showAll="0"/>
    <pivotField numFmtId="10"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Revenue" fld="9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8CB5A-E61F-4DA8-B8F3-AB4448382769}">
  <dimension ref="A1:O1001"/>
  <sheetViews>
    <sheetView topLeftCell="F1" zoomScale="160" zoomScaleNormal="130" workbookViewId="0">
      <selection activeCell="L1" sqref="L1:L1048576"/>
    </sheetView>
  </sheetViews>
  <sheetFormatPr defaultRowHeight="14.5" x14ac:dyDescent="0.35"/>
  <cols>
    <col min="1" max="1" width="10.453125" customWidth="1"/>
    <col min="4" max="4" width="11.1796875" customWidth="1"/>
    <col min="5" max="5" width="13.1796875" customWidth="1"/>
    <col min="6" max="6" width="12.08984375" customWidth="1"/>
    <col min="7" max="7" width="11.08984375" customWidth="1"/>
    <col min="9" max="9" width="12.1796875" customWidth="1"/>
    <col min="10" max="10" width="10.36328125" style="5" bestFit="1" customWidth="1"/>
    <col min="11" max="11" width="8.7265625" style="4"/>
    <col min="12" max="12" width="11.36328125" style="6" customWidth="1"/>
    <col min="13" max="13" width="8.7265625" style="7"/>
    <col min="14" max="14" width="16" style="7" customWidth="1"/>
    <col min="15" max="15" width="9" style="7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5" t="s">
        <v>9</v>
      </c>
      <c r="K1" s="4" t="s">
        <v>10</v>
      </c>
      <c r="L1" s="6" t="s">
        <v>11</v>
      </c>
      <c r="M1" s="7" t="s">
        <v>35</v>
      </c>
      <c r="N1" s="7" t="s">
        <v>41</v>
      </c>
      <c r="O1" s="7" t="s">
        <v>36</v>
      </c>
    </row>
    <row r="2" spans="1:15" x14ac:dyDescent="0.35">
      <c r="A2">
        <v>1</v>
      </c>
      <c r="B2">
        <v>36</v>
      </c>
      <c r="C2" t="s">
        <v>12</v>
      </c>
      <c r="D2" t="s">
        <v>13</v>
      </c>
      <c r="E2" t="s">
        <v>14</v>
      </c>
      <c r="F2" t="s">
        <v>15</v>
      </c>
      <c r="G2">
        <v>1360</v>
      </c>
      <c r="H2">
        <v>320</v>
      </c>
      <c r="I2">
        <v>76</v>
      </c>
      <c r="J2" s="5">
        <v>7600</v>
      </c>
      <c r="K2" s="4">
        <v>1924</v>
      </c>
      <c r="L2" s="6" t="s">
        <v>42</v>
      </c>
      <c r="M2" s="7">
        <f>H2/G2</f>
        <v>0.23529411764705882</v>
      </c>
      <c r="N2" s="7">
        <f>I2/H2</f>
        <v>0.23749999999999999</v>
      </c>
      <c r="O2" s="7">
        <f>(J2-K2)/K2</f>
        <v>2.9501039501039501</v>
      </c>
    </row>
    <row r="3" spans="1:15" x14ac:dyDescent="0.35">
      <c r="A3">
        <v>2</v>
      </c>
      <c r="B3">
        <v>19</v>
      </c>
      <c r="C3" t="s">
        <v>12</v>
      </c>
      <c r="D3" t="s">
        <v>16</v>
      </c>
      <c r="E3" t="s">
        <v>17</v>
      </c>
      <c r="F3" t="s">
        <v>18</v>
      </c>
      <c r="G3">
        <v>3944</v>
      </c>
      <c r="H3">
        <v>149</v>
      </c>
      <c r="I3">
        <v>28</v>
      </c>
      <c r="J3" s="5">
        <v>2828</v>
      </c>
      <c r="K3" s="4">
        <v>330</v>
      </c>
      <c r="L3" s="6">
        <v>45765</v>
      </c>
      <c r="M3" s="7">
        <f t="shared" ref="M3:M66" si="0">H3/G3</f>
        <v>3.7778904665314403E-2</v>
      </c>
      <c r="N3" s="7">
        <f>I3/H3</f>
        <v>0.18791946308724833</v>
      </c>
      <c r="O3" s="7">
        <f t="shared" ref="O3:O66" si="1">(J3-K3)/K3</f>
        <v>7.5696969696969694</v>
      </c>
    </row>
    <row r="4" spans="1:15" x14ac:dyDescent="0.35">
      <c r="A4">
        <v>3</v>
      </c>
      <c r="B4">
        <v>29</v>
      </c>
      <c r="C4" t="s">
        <v>19</v>
      </c>
      <c r="D4" t="s">
        <v>20</v>
      </c>
      <c r="E4" t="s">
        <v>21</v>
      </c>
      <c r="F4" t="s">
        <v>22</v>
      </c>
      <c r="G4">
        <v>2933</v>
      </c>
      <c r="H4">
        <v>241</v>
      </c>
      <c r="I4">
        <v>64</v>
      </c>
      <c r="J4" s="5">
        <v>7168</v>
      </c>
      <c r="K4" s="4">
        <v>476</v>
      </c>
      <c r="L4" s="6">
        <v>45679</v>
      </c>
      <c r="M4" s="7">
        <f t="shared" si="0"/>
        <v>8.2168428230480733E-2</v>
      </c>
      <c r="N4" s="7">
        <f t="shared" ref="N4:N66" si="2">I4/H4</f>
        <v>0.26556016597510373</v>
      </c>
      <c r="O4" s="7">
        <f t="shared" si="1"/>
        <v>14.058823529411764</v>
      </c>
    </row>
    <row r="5" spans="1:15" x14ac:dyDescent="0.35">
      <c r="A5">
        <v>4</v>
      </c>
      <c r="B5">
        <v>45</v>
      </c>
      <c r="C5" t="s">
        <v>19</v>
      </c>
      <c r="D5" t="s">
        <v>23</v>
      </c>
      <c r="E5" t="s">
        <v>24</v>
      </c>
      <c r="F5" t="s">
        <v>22</v>
      </c>
      <c r="G5">
        <v>3404</v>
      </c>
      <c r="H5">
        <v>98</v>
      </c>
      <c r="I5">
        <v>63</v>
      </c>
      <c r="J5" s="5">
        <v>7623</v>
      </c>
      <c r="K5" s="4">
        <v>710</v>
      </c>
      <c r="L5" s="6">
        <v>45765</v>
      </c>
      <c r="M5" s="7">
        <f t="shared" si="0"/>
        <v>2.8789659224441832E-2</v>
      </c>
      <c r="N5" s="7">
        <f t="shared" si="2"/>
        <v>0.6428571428571429</v>
      </c>
      <c r="O5" s="7">
        <f t="shared" si="1"/>
        <v>9.7366197183098588</v>
      </c>
    </row>
    <row r="6" spans="1:15" x14ac:dyDescent="0.35">
      <c r="A6">
        <v>5</v>
      </c>
      <c r="B6">
        <v>24</v>
      </c>
      <c r="C6" t="s">
        <v>12</v>
      </c>
      <c r="D6" t="s">
        <v>23</v>
      </c>
      <c r="E6" t="s">
        <v>25</v>
      </c>
      <c r="F6" t="s">
        <v>18</v>
      </c>
      <c r="G6">
        <v>1767</v>
      </c>
      <c r="H6">
        <v>369</v>
      </c>
      <c r="I6">
        <v>7</v>
      </c>
      <c r="J6" s="5">
        <v>910</v>
      </c>
      <c r="K6" s="4">
        <v>1708</v>
      </c>
      <c r="L6" s="6">
        <v>45730</v>
      </c>
      <c r="M6" s="7">
        <f t="shared" si="0"/>
        <v>0.20882852292020374</v>
      </c>
      <c r="N6" s="7">
        <f t="shared" si="2"/>
        <v>1.8970189701897018E-2</v>
      </c>
      <c r="O6" s="7">
        <f t="shared" si="1"/>
        <v>-0.46721311475409838</v>
      </c>
    </row>
    <row r="7" spans="1:15" x14ac:dyDescent="0.35">
      <c r="A7">
        <v>6</v>
      </c>
      <c r="B7">
        <v>26</v>
      </c>
      <c r="C7" t="s">
        <v>19</v>
      </c>
      <c r="D7" t="s">
        <v>26</v>
      </c>
      <c r="E7" t="s">
        <v>21</v>
      </c>
      <c r="F7" t="s">
        <v>18</v>
      </c>
      <c r="G7">
        <v>2935</v>
      </c>
      <c r="H7">
        <v>138</v>
      </c>
      <c r="I7">
        <v>64</v>
      </c>
      <c r="J7" s="5">
        <v>12352</v>
      </c>
      <c r="K7" s="4">
        <v>213</v>
      </c>
      <c r="L7" s="6">
        <v>45710</v>
      </c>
      <c r="M7" s="7">
        <f t="shared" si="0"/>
        <v>4.7018739352640546E-2</v>
      </c>
      <c r="N7" s="7">
        <f t="shared" si="2"/>
        <v>0.46376811594202899</v>
      </c>
      <c r="O7" s="7">
        <f t="shared" si="1"/>
        <v>56.990610328638496</v>
      </c>
    </row>
    <row r="8" spans="1:15" x14ac:dyDescent="0.35">
      <c r="A8">
        <v>7</v>
      </c>
      <c r="B8">
        <v>25</v>
      </c>
      <c r="C8" t="s">
        <v>19</v>
      </c>
      <c r="D8" t="s">
        <v>13</v>
      </c>
      <c r="E8" t="s">
        <v>24</v>
      </c>
      <c r="F8" t="s">
        <v>18</v>
      </c>
      <c r="G8">
        <v>1863</v>
      </c>
      <c r="H8">
        <v>141</v>
      </c>
      <c r="I8">
        <v>64</v>
      </c>
      <c r="J8" s="5">
        <v>7872</v>
      </c>
      <c r="K8" s="4">
        <v>1678</v>
      </c>
      <c r="L8" s="6">
        <v>45735</v>
      </c>
      <c r="M8" s="7">
        <f t="shared" si="0"/>
        <v>7.5684380032206122E-2</v>
      </c>
      <c r="N8" s="7">
        <f t="shared" si="2"/>
        <v>0.45390070921985815</v>
      </c>
      <c r="O8" s="7">
        <f t="shared" si="1"/>
        <v>3.6912991656734206</v>
      </c>
    </row>
    <row r="9" spans="1:15" x14ac:dyDescent="0.35">
      <c r="A9">
        <v>8</v>
      </c>
      <c r="B9">
        <v>23</v>
      </c>
      <c r="C9" t="s">
        <v>19</v>
      </c>
      <c r="D9" t="s">
        <v>27</v>
      </c>
      <c r="E9" t="s">
        <v>28</v>
      </c>
      <c r="F9" t="s">
        <v>15</v>
      </c>
      <c r="G9">
        <v>3652</v>
      </c>
      <c r="H9">
        <v>469</v>
      </c>
      <c r="I9">
        <v>54</v>
      </c>
      <c r="J9" s="5">
        <v>4374</v>
      </c>
      <c r="K9" s="4">
        <v>1611</v>
      </c>
      <c r="L9" s="6">
        <v>45763</v>
      </c>
      <c r="M9" s="7">
        <f t="shared" si="0"/>
        <v>0.12842278203723986</v>
      </c>
      <c r="N9" s="7">
        <f t="shared" si="2"/>
        <v>0.11513859275053305</v>
      </c>
      <c r="O9" s="7">
        <f t="shared" si="1"/>
        <v>1.7150837988826815</v>
      </c>
    </row>
    <row r="10" spans="1:15" x14ac:dyDescent="0.35">
      <c r="A10">
        <v>9</v>
      </c>
      <c r="B10">
        <v>51</v>
      </c>
      <c r="C10" t="s">
        <v>12</v>
      </c>
      <c r="D10" t="s">
        <v>16</v>
      </c>
      <c r="E10" t="s">
        <v>21</v>
      </c>
      <c r="F10" t="s">
        <v>29</v>
      </c>
      <c r="G10">
        <v>4343</v>
      </c>
      <c r="H10">
        <v>359</v>
      </c>
      <c r="I10">
        <v>67</v>
      </c>
      <c r="J10" s="5">
        <v>11323</v>
      </c>
      <c r="K10" s="4">
        <v>601</v>
      </c>
      <c r="L10" s="6">
        <v>45719</v>
      </c>
      <c r="M10" s="7">
        <f t="shared" si="0"/>
        <v>8.2661754547547775E-2</v>
      </c>
      <c r="N10" s="7">
        <f t="shared" si="2"/>
        <v>0.18662952646239556</v>
      </c>
      <c r="O10" s="7">
        <f t="shared" si="1"/>
        <v>17.840266222961731</v>
      </c>
    </row>
    <row r="11" spans="1:15" x14ac:dyDescent="0.35">
      <c r="A11">
        <v>10</v>
      </c>
      <c r="B11">
        <v>31</v>
      </c>
      <c r="C11" t="s">
        <v>12</v>
      </c>
      <c r="D11" t="s">
        <v>13</v>
      </c>
      <c r="E11" t="s">
        <v>14</v>
      </c>
      <c r="F11" t="s">
        <v>22</v>
      </c>
      <c r="G11">
        <v>1495</v>
      </c>
      <c r="H11">
        <v>319</v>
      </c>
      <c r="I11">
        <v>52</v>
      </c>
      <c r="J11" s="5">
        <v>7852</v>
      </c>
      <c r="K11" s="4">
        <v>1494</v>
      </c>
      <c r="L11" s="6">
        <v>45719</v>
      </c>
      <c r="M11" s="7">
        <f t="shared" si="0"/>
        <v>0.21337792642140468</v>
      </c>
      <c r="N11" s="7">
        <f t="shared" si="2"/>
        <v>0.16300940438871472</v>
      </c>
      <c r="O11" s="7">
        <f t="shared" si="1"/>
        <v>4.2556894243641228</v>
      </c>
    </row>
    <row r="12" spans="1:15" x14ac:dyDescent="0.35">
      <c r="A12">
        <v>11</v>
      </c>
      <c r="B12">
        <v>42</v>
      </c>
      <c r="C12" t="s">
        <v>19</v>
      </c>
      <c r="D12" t="s">
        <v>13</v>
      </c>
      <c r="E12" t="s">
        <v>30</v>
      </c>
      <c r="F12" t="s">
        <v>18</v>
      </c>
      <c r="G12">
        <v>837</v>
      </c>
      <c r="H12">
        <v>416</v>
      </c>
      <c r="I12">
        <v>57</v>
      </c>
      <c r="J12" s="5">
        <v>5985</v>
      </c>
      <c r="K12" s="4">
        <v>991</v>
      </c>
      <c r="L12" s="6">
        <v>45686</v>
      </c>
      <c r="M12" s="7">
        <f t="shared" si="0"/>
        <v>0.49701314217443249</v>
      </c>
      <c r="N12" s="7">
        <f t="shared" si="2"/>
        <v>0.13701923076923078</v>
      </c>
      <c r="O12" s="7">
        <f t="shared" si="1"/>
        <v>5.0393541876892032</v>
      </c>
    </row>
    <row r="13" spans="1:15" x14ac:dyDescent="0.35">
      <c r="A13">
        <v>12</v>
      </c>
      <c r="B13">
        <v>18</v>
      </c>
      <c r="C13" t="s">
        <v>12</v>
      </c>
      <c r="D13" t="s">
        <v>27</v>
      </c>
      <c r="E13" t="s">
        <v>17</v>
      </c>
      <c r="F13" t="s">
        <v>29</v>
      </c>
      <c r="G13">
        <v>2562</v>
      </c>
      <c r="H13">
        <v>350</v>
      </c>
      <c r="I13">
        <v>69</v>
      </c>
      <c r="J13" s="5">
        <v>11523</v>
      </c>
      <c r="K13" s="4">
        <v>720</v>
      </c>
      <c r="L13" s="6">
        <v>45745</v>
      </c>
      <c r="M13" s="7">
        <f t="shared" si="0"/>
        <v>0.13661202185792351</v>
      </c>
      <c r="N13" s="7">
        <f t="shared" si="2"/>
        <v>0.19714285714285715</v>
      </c>
      <c r="O13" s="7">
        <f t="shared" si="1"/>
        <v>15.004166666666666</v>
      </c>
    </row>
    <row r="14" spans="1:15" x14ac:dyDescent="0.35">
      <c r="A14">
        <v>13</v>
      </c>
      <c r="B14">
        <v>45</v>
      </c>
      <c r="C14" t="s">
        <v>19</v>
      </c>
      <c r="D14" t="s">
        <v>23</v>
      </c>
      <c r="E14" t="s">
        <v>14</v>
      </c>
      <c r="F14" t="s">
        <v>31</v>
      </c>
      <c r="G14">
        <v>891</v>
      </c>
      <c r="H14">
        <v>212</v>
      </c>
      <c r="I14">
        <v>39</v>
      </c>
      <c r="J14" s="5">
        <v>3276</v>
      </c>
      <c r="K14" s="4">
        <v>488</v>
      </c>
      <c r="L14" s="6">
        <v>45730</v>
      </c>
      <c r="M14" s="7">
        <f t="shared" si="0"/>
        <v>0.23793490460157127</v>
      </c>
      <c r="N14" s="7">
        <f t="shared" si="2"/>
        <v>0.18396226415094338</v>
      </c>
      <c r="O14" s="7">
        <f t="shared" si="1"/>
        <v>5.7131147540983607</v>
      </c>
    </row>
    <row r="15" spans="1:15" x14ac:dyDescent="0.35">
      <c r="A15">
        <v>14</v>
      </c>
      <c r="B15">
        <v>54</v>
      </c>
      <c r="C15" t="s">
        <v>12</v>
      </c>
      <c r="D15" t="s">
        <v>13</v>
      </c>
      <c r="E15" t="s">
        <v>24</v>
      </c>
      <c r="F15" t="s">
        <v>22</v>
      </c>
      <c r="G15">
        <v>3604</v>
      </c>
      <c r="H15">
        <v>97</v>
      </c>
      <c r="I15">
        <v>27</v>
      </c>
      <c r="J15" s="5">
        <v>4509</v>
      </c>
      <c r="K15" s="4">
        <v>1797</v>
      </c>
      <c r="L15" s="6">
        <v>45701</v>
      </c>
      <c r="M15" s="7">
        <f t="shared" si="0"/>
        <v>2.6914539400665925E-2</v>
      </c>
      <c r="N15" s="7">
        <f t="shared" si="2"/>
        <v>0.27835051546391754</v>
      </c>
      <c r="O15" s="7">
        <f t="shared" si="1"/>
        <v>1.5091819699499165</v>
      </c>
    </row>
    <row r="16" spans="1:15" x14ac:dyDescent="0.35">
      <c r="A16">
        <v>15</v>
      </c>
      <c r="B16">
        <v>31</v>
      </c>
      <c r="C16" t="s">
        <v>12</v>
      </c>
      <c r="D16" t="s">
        <v>13</v>
      </c>
      <c r="E16" t="s">
        <v>24</v>
      </c>
      <c r="F16" t="s">
        <v>15</v>
      </c>
      <c r="G16">
        <v>3273</v>
      </c>
      <c r="H16">
        <v>84</v>
      </c>
      <c r="I16">
        <v>69</v>
      </c>
      <c r="J16" s="5">
        <v>12420</v>
      </c>
      <c r="K16" s="4">
        <v>1962</v>
      </c>
      <c r="L16" s="6">
        <v>45658</v>
      </c>
      <c r="M16" s="7">
        <f t="shared" si="0"/>
        <v>2.5664527956003668E-2</v>
      </c>
      <c r="N16" s="7">
        <f t="shared" si="2"/>
        <v>0.8214285714285714</v>
      </c>
      <c r="O16" s="7">
        <f t="shared" si="1"/>
        <v>5.330275229357798</v>
      </c>
    </row>
    <row r="17" spans="1:15" x14ac:dyDescent="0.35">
      <c r="A17">
        <v>16</v>
      </c>
      <c r="B17">
        <v>26</v>
      </c>
      <c r="C17" t="s">
        <v>12</v>
      </c>
      <c r="D17" t="s">
        <v>23</v>
      </c>
      <c r="E17" t="s">
        <v>21</v>
      </c>
      <c r="F17" t="s">
        <v>22</v>
      </c>
      <c r="G17">
        <v>1528</v>
      </c>
      <c r="H17">
        <v>267</v>
      </c>
      <c r="I17">
        <v>18</v>
      </c>
      <c r="J17" s="5">
        <v>1908</v>
      </c>
      <c r="K17" s="4">
        <v>1070</v>
      </c>
      <c r="L17" s="6">
        <v>45699</v>
      </c>
      <c r="M17" s="7">
        <f t="shared" si="0"/>
        <v>0.17473821989528796</v>
      </c>
      <c r="N17" s="7">
        <f t="shared" si="2"/>
        <v>6.741573033707865E-2</v>
      </c>
      <c r="O17" s="7">
        <f t="shared" si="1"/>
        <v>0.7831775700934579</v>
      </c>
    </row>
    <row r="18" spans="1:15" x14ac:dyDescent="0.35">
      <c r="A18">
        <v>17</v>
      </c>
      <c r="B18">
        <v>49</v>
      </c>
      <c r="C18" t="s">
        <v>12</v>
      </c>
      <c r="D18" t="s">
        <v>20</v>
      </c>
      <c r="E18" t="s">
        <v>32</v>
      </c>
      <c r="F18" t="s">
        <v>31</v>
      </c>
      <c r="G18">
        <v>1984</v>
      </c>
      <c r="H18">
        <v>228</v>
      </c>
      <c r="I18">
        <v>67</v>
      </c>
      <c r="J18" s="5">
        <v>12194</v>
      </c>
      <c r="K18" s="4">
        <v>1063</v>
      </c>
      <c r="L18" s="6">
        <v>45751</v>
      </c>
      <c r="M18" s="7">
        <f t="shared" si="0"/>
        <v>0.11491935483870967</v>
      </c>
      <c r="N18" s="7">
        <f t="shared" si="2"/>
        <v>0.29385964912280704</v>
      </c>
      <c r="O18" s="7">
        <f t="shared" si="1"/>
        <v>10.471307619943556</v>
      </c>
    </row>
    <row r="19" spans="1:15" x14ac:dyDescent="0.35">
      <c r="A19">
        <v>18</v>
      </c>
      <c r="B19">
        <v>49</v>
      </c>
      <c r="C19" t="s">
        <v>12</v>
      </c>
      <c r="D19" t="s">
        <v>26</v>
      </c>
      <c r="E19" t="s">
        <v>14</v>
      </c>
      <c r="F19" t="s">
        <v>18</v>
      </c>
      <c r="G19">
        <v>2178</v>
      </c>
      <c r="H19">
        <v>220</v>
      </c>
      <c r="I19">
        <v>33</v>
      </c>
      <c r="J19" s="5">
        <v>3036</v>
      </c>
      <c r="K19" s="4">
        <v>1259</v>
      </c>
      <c r="L19" s="6">
        <v>45716</v>
      </c>
      <c r="M19" s="7">
        <f t="shared" si="0"/>
        <v>0.10101010101010101</v>
      </c>
      <c r="N19" s="7">
        <f t="shared" si="2"/>
        <v>0.15</v>
      </c>
      <c r="O19" s="7">
        <f t="shared" si="1"/>
        <v>1.4114376489277205</v>
      </c>
    </row>
    <row r="20" spans="1:15" x14ac:dyDescent="0.35">
      <c r="A20">
        <v>19</v>
      </c>
      <c r="B20">
        <v>23</v>
      </c>
      <c r="C20" t="s">
        <v>12</v>
      </c>
      <c r="D20" t="s">
        <v>23</v>
      </c>
      <c r="E20" t="s">
        <v>32</v>
      </c>
      <c r="F20" t="s">
        <v>22</v>
      </c>
      <c r="G20">
        <v>3814</v>
      </c>
      <c r="H20">
        <v>135</v>
      </c>
      <c r="I20">
        <v>32</v>
      </c>
      <c r="J20" s="5">
        <v>3872</v>
      </c>
      <c r="K20" s="4">
        <v>777</v>
      </c>
      <c r="L20" s="6">
        <v>45687</v>
      </c>
      <c r="M20" s="7">
        <f t="shared" si="0"/>
        <v>3.5395909805977975E-2</v>
      </c>
      <c r="N20" s="7">
        <f t="shared" si="2"/>
        <v>0.23703703703703705</v>
      </c>
      <c r="O20" s="7">
        <f t="shared" si="1"/>
        <v>3.9832689832689834</v>
      </c>
    </row>
    <row r="21" spans="1:15" x14ac:dyDescent="0.35">
      <c r="A21">
        <v>20</v>
      </c>
      <c r="B21">
        <v>44</v>
      </c>
      <c r="C21" t="s">
        <v>19</v>
      </c>
      <c r="D21" t="s">
        <v>23</v>
      </c>
      <c r="E21" t="s">
        <v>30</v>
      </c>
      <c r="F21" t="s">
        <v>18</v>
      </c>
      <c r="G21">
        <v>2481</v>
      </c>
      <c r="H21">
        <v>380</v>
      </c>
      <c r="I21">
        <v>66</v>
      </c>
      <c r="J21" s="5">
        <v>5280</v>
      </c>
      <c r="K21" s="4">
        <v>1448</v>
      </c>
      <c r="L21" s="6">
        <v>45773</v>
      </c>
      <c r="M21" s="7">
        <f t="shared" si="0"/>
        <v>0.15316404675534059</v>
      </c>
      <c r="N21" s="7">
        <f t="shared" si="2"/>
        <v>0.1736842105263158</v>
      </c>
      <c r="O21" s="7">
        <f t="shared" si="1"/>
        <v>2.6464088397790055</v>
      </c>
    </row>
    <row r="22" spans="1:15" x14ac:dyDescent="0.35">
      <c r="A22">
        <v>21</v>
      </c>
      <c r="B22">
        <v>26</v>
      </c>
      <c r="C22" t="s">
        <v>12</v>
      </c>
      <c r="D22" t="s">
        <v>23</v>
      </c>
      <c r="E22" t="s">
        <v>25</v>
      </c>
      <c r="F22" t="s">
        <v>22</v>
      </c>
      <c r="G22">
        <v>1782</v>
      </c>
      <c r="H22">
        <v>408</v>
      </c>
      <c r="I22">
        <v>74</v>
      </c>
      <c r="J22" s="5">
        <v>7844</v>
      </c>
      <c r="K22" s="4">
        <v>1679</v>
      </c>
      <c r="L22" s="6">
        <v>45754</v>
      </c>
      <c r="M22" s="7">
        <f t="shared" si="0"/>
        <v>0.22895622895622897</v>
      </c>
      <c r="N22" s="7">
        <f t="shared" si="2"/>
        <v>0.18137254901960784</v>
      </c>
      <c r="O22" s="7">
        <f t="shared" si="1"/>
        <v>3.6718284693269805</v>
      </c>
    </row>
    <row r="23" spans="1:15" x14ac:dyDescent="0.35">
      <c r="A23">
        <v>22</v>
      </c>
      <c r="B23">
        <v>29</v>
      </c>
      <c r="C23" t="s">
        <v>12</v>
      </c>
      <c r="D23" t="s">
        <v>26</v>
      </c>
      <c r="E23" t="s">
        <v>14</v>
      </c>
      <c r="F23" t="s">
        <v>18</v>
      </c>
      <c r="G23">
        <v>1163</v>
      </c>
      <c r="H23">
        <v>364</v>
      </c>
      <c r="I23">
        <v>36</v>
      </c>
      <c r="J23" s="5">
        <v>6012</v>
      </c>
      <c r="K23" s="4">
        <v>1831</v>
      </c>
      <c r="L23" s="6">
        <v>45659</v>
      </c>
      <c r="M23" s="7">
        <f t="shared" si="0"/>
        <v>0.3129836629406707</v>
      </c>
      <c r="N23" s="7">
        <f t="shared" si="2"/>
        <v>9.8901098901098897E-2</v>
      </c>
      <c r="O23" s="7">
        <f t="shared" si="1"/>
        <v>2.2834516657564174</v>
      </c>
    </row>
    <row r="24" spans="1:15" x14ac:dyDescent="0.35">
      <c r="A24">
        <v>23</v>
      </c>
      <c r="B24">
        <v>19</v>
      </c>
      <c r="C24" t="s">
        <v>19</v>
      </c>
      <c r="D24" t="s">
        <v>20</v>
      </c>
      <c r="E24" t="s">
        <v>33</v>
      </c>
      <c r="F24" t="s">
        <v>15</v>
      </c>
      <c r="G24">
        <v>2136</v>
      </c>
      <c r="H24">
        <v>162</v>
      </c>
      <c r="I24">
        <v>60</v>
      </c>
      <c r="J24" s="5">
        <v>8280</v>
      </c>
      <c r="K24" s="4">
        <v>1304</v>
      </c>
      <c r="L24" s="6">
        <v>45749</v>
      </c>
      <c r="M24" s="7">
        <f t="shared" si="0"/>
        <v>7.5842696629213488E-2</v>
      </c>
      <c r="N24" s="7">
        <f t="shared" si="2"/>
        <v>0.37037037037037035</v>
      </c>
      <c r="O24" s="7">
        <f t="shared" si="1"/>
        <v>5.3496932515337425</v>
      </c>
    </row>
    <row r="25" spans="1:15" x14ac:dyDescent="0.35">
      <c r="A25">
        <v>24</v>
      </c>
      <c r="B25">
        <v>43</v>
      </c>
      <c r="C25" t="s">
        <v>19</v>
      </c>
      <c r="D25" t="s">
        <v>26</v>
      </c>
      <c r="E25" t="s">
        <v>28</v>
      </c>
      <c r="F25" t="s">
        <v>31</v>
      </c>
      <c r="G25">
        <v>1354</v>
      </c>
      <c r="H25">
        <v>273</v>
      </c>
      <c r="I25">
        <v>5</v>
      </c>
      <c r="J25" s="5">
        <v>405</v>
      </c>
      <c r="K25" s="4">
        <v>1626</v>
      </c>
      <c r="L25" s="6">
        <v>45689</v>
      </c>
      <c r="M25" s="7">
        <f t="shared" si="0"/>
        <v>0.2016248153618907</v>
      </c>
      <c r="N25" s="7">
        <f t="shared" si="2"/>
        <v>1.8315018315018316E-2</v>
      </c>
      <c r="O25" s="7">
        <f t="shared" si="1"/>
        <v>-0.75092250922509229</v>
      </c>
    </row>
    <row r="26" spans="1:15" x14ac:dyDescent="0.35">
      <c r="A26">
        <v>25</v>
      </c>
      <c r="B26">
        <v>41</v>
      </c>
      <c r="C26" t="s">
        <v>19</v>
      </c>
      <c r="D26" t="s">
        <v>16</v>
      </c>
      <c r="E26" t="s">
        <v>25</v>
      </c>
      <c r="F26" t="s">
        <v>31</v>
      </c>
      <c r="G26">
        <v>4010</v>
      </c>
      <c r="H26">
        <v>252</v>
      </c>
      <c r="I26">
        <v>60</v>
      </c>
      <c r="J26" s="5">
        <v>5760</v>
      </c>
      <c r="K26" s="4">
        <v>322</v>
      </c>
      <c r="L26" s="6">
        <v>45773</v>
      </c>
      <c r="M26" s="7">
        <f t="shared" si="0"/>
        <v>6.2842892768079806E-2</v>
      </c>
      <c r="N26" s="7">
        <f t="shared" si="2"/>
        <v>0.23809523809523808</v>
      </c>
      <c r="O26" s="7">
        <f t="shared" si="1"/>
        <v>16.888198757763973</v>
      </c>
    </row>
    <row r="27" spans="1:15" x14ac:dyDescent="0.35">
      <c r="A27">
        <v>26</v>
      </c>
      <c r="B27">
        <v>23</v>
      </c>
      <c r="C27" t="s">
        <v>12</v>
      </c>
      <c r="D27" t="s">
        <v>16</v>
      </c>
      <c r="E27" t="s">
        <v>24</v>
      </c>
      <c r="F27" t="s">
        <v>22</v>
      </c>
      <c r="G27">
        <v>697</v>
      </c>
      <c r="H27">
        <v>444</v>
      </c>
      <c r="I27">
        <v>20</v>
      </c>
      <c r="J27" s="5">
        <v>3040</v>
      </c>
      <c r="K27" s="4">
        <v>808</v>
      </c>
      <c r="L27" s="6">
        <v>45677</v>
      </c>
      <c r="M27" s="7">
        <f t="shared" si="0"/>
        <v>0.63701578192252506</v>
      </c>
      <c r="N27" s="7">
        <f t="shared" si="2"/>
        <v>4.5045045045045043E-2</v>
      </c>
      <c r="O27" s="7">
        <f t="shared" si="1"/>
        <v>2.7623762376237622</v>
      </c>
    </row>
    <row r="28" spans="1:15" x14ac:dyDescent="0.35">
      <c r="A28">
        <v>27</v>
      </c>
      <c r="B28">
        <v>20</v>
      </c>
      <c r="C28" t="s">
        <v>19</v>
      </c>
      <c r="D28" t="s">
        <v>16</v>
      </c>
      <c r="E28" t="s">
        <v>24</v>
      </c>
      <c r="F28" t="s">
        <v>18</v>
      </c>
      <c r="G28">
        <v>3311</v>
      </c>
      <c r="H28">
        <v>492</v>
      </c>
      <c r="I28">
        <v>40</v>
      </c>
      <c r="J28" s="5">
        <v>6760</v>
      </c>
      <c r="K28" s="4">
        <v>602</v>
      </c>
      <c r="L28" s="6">
        <v>45677</v>
      </c>
      <c r="M28" s="7">
        <f t="shared" si="0"/>
        <v>0.14859559045605558</v>
      </c>
      <c r="N28" s="7">
        <f t="shared" si="2"/>
        <v>8.1300813008130079E-2</v>
      </c>
      <c r="O28" s="7">
        <f t="shared" si="1"/>
        <v>10.22923588039867</v>
      </c>
    </row>
    <row r="29" spans="1:15" x14ac:dyDescent="0.35">
      <c r="A29">
        <v>28</v>
      </c>
      <c r="B29">
        <v>35</v>
      </c>
      <c r="C29" t="s">
        <v>19</v>
      </c>
      <c r="D29" t="s">
        <v>16</v>
      </c>
      <c r="E29" t="s">
        <v>17</v>
      </c>
      <c r="F29" t="s">
        <v>18</v>
      </c>
      <c r="G29">
        <v>3411</v>
      </c>
      <c r="H29">
        <v>248</v>
      </c>
      <c r="I29">
        <v>56</v>
      </c>
      <c r="J29" s="5">
        <v>6272</v>
      </c>
      <c r="K29" s="4">
        <v>688</v>
      </c>
      <c r="L29" s="6">
        <v>45658</v>
      </c>
      <c r="M29" s="7">
        <f t="shared" si="0"/>
        <v>7.2705951333919674E-2</v>
      </c>
      <c r="N29" s="7">
        <f t="shared" si="2"/>
        <v>0.22580645161290322</v>
      </c>
      <c r="O29" s="7">
        <f t="shared" si="1"/>
        <v>8.1162790697674421</v>
      </c>
    </row>
    <row r="30" spans="1:15" x14ac:dyDescent="0.35">
      <c r="A30">
        <v>29</v>
      </c>
      <c r="B30">
        <v>47</v>
      </c>
      <c r="C30" t="s">
        <v>19</v>
      </c>
      <c r="D30" t="s">
        <v>20</v>
      </c>
      <c r="E30" t="s">
        <v>21</v>
      </c>
      <c r="F30" t="s">
        <v>18</v>
      </c>
      <c r="G30">
        <v>2302</v>
      </c>
      <c r="H30">
        <v>490</v>
      </c>
      <c r="I30">
        <v>54</v>
      </c>
      <c r="J30" s="5">
        <v>5940</v>
      </c>
      <c r="K30" s="4">
        <v>350</v>
      </c>
      <c r="L30" s="6">
        <v>45756</v>
      </c>
      <c r="M30" s="7">
        <f t="shared" si="0"/>
        <v>0.21285838401390095</v>
      </c>
      <c r="N30" s="7">
        <f t="shared" si="2"/>
        <v>0.11020408163265306</v>
      </c>
      <c r="O30" s="7">
        <f t="shared" si="1"/>
        <v>15.971428571428572</v>
      </c>
    </row>
    <row r="31" spans="1:15" x14ac:dyDescent="0.35">
      <c r="A31">
        <v>30</v>
      </c>
      <c r="B31">
        <v>19</v>
      </c>
      <c r="C31" t="s">
        <v>12</v>
      </c>
      <c r="D31" t="s">
        <v>27</v>
      </c>
      <c r="E31" t="s">
        <v>34</v>
      </c>
      <c r="F31" t="s">
        <v>15</v>
      </c>
      <c r="G31">
        <v>762</v>
      </c>
      <c r="H31">
        <v>301</v>
      </c>
      <c r="I31">
        <v>20</v>
      </c>
      <c r="J31" s="5">
        <v>3820</v>
      </c>
      <c r="K31" s="4">
        <v>545</v>
      </c>
      <c r="L31" s="6">
        <v>45705</v>
      </c>
      <c r="M31" s="7">
        <f t="shared" si="0"/>
        <v>0.39501312335958005</v>
      </c>
      <c r="N31" s="7">
        <f t="shared" si="2"/>
        <v>6.6445182724252497E-2</v>
      </c>
      <c r="O31" s="7">
        <f t="shared" si="1"/>
        <v>6.0091743119266052</v>
      </c>
    </row>
    <row r="32" spans="1:15" x14ac:dyDescent="0.35">
      <c r="A32">
        <v>31</v>
      </c>
      <c r="B32">
        <v>52</v>
      </c>
      <c r="C32" t="s">
        <v>12</v>
      </c>
      <c r="D32" t="s">
        <v>20</v>
      </c>
      <c r="E32" t="s">
        <v>24</v>
      </c>
      <c r="F32" t="s">
        <v>22</v>
      </c>
      <c r="G32">
        <v>4223</v>
      </c>
      <c r="H32">
        <v>86</v>
      </c>
      <c r="I32">
        <v>36</v>
      </c>
      <c r="J32" s="5">
        <v>3168</v>
      </c>
      <c r="K32" s="4">
        <v>1214</v>
      </c>
      <c r="L32" s="6">
        <v>45705</v>
      </c>
      <c r="M32" s="7">
        <f t="shared" si="0"/>
        <v>2.0364669666114138E-2</v>
      </c>
      <c r="N32" s="7">
        <f t="shared" si="2"/>
        <v>0.41860465116279072</v>
      </c>
      <c r="O32" s="7">
        <f t="shared" si="1"/>
        <v>1.6095551894563427</v>
      </c>
    </row>
    <row r="33" spans="1:15" x14ac:dyDescent="0.35">
      <c r="A33">
        <v>32</v>
      </c>
      <c r="B33">
        <v>50</v>
      </c>
      <c r="C33" t="s">
        <v>19</v>
      </c>
      <c r="D33" t="s">
        <v>26</v>
      </c>
      <c r="E33" t="s">
        <v>17</v>
      </c>
      <c r="F33" t="s">
        <v>22</v>
      </c>
      <c r="G33">
        <v>2755</v>
      </c>
      <c r="H33">
        <v>180</v>
      </c>
      <c r="I33">
        <v>24</v>
      </c>
      <c r="J33" s="5">
        <v>3192</v>
      </c>
      <c r="K33" s="4">
        <v>351</v>
      </c>
      <c r="L33" s="6">
        <v>45773</v>
      </c>
      <c r="M33" s="7">
        <f t="shared" si="0"/>
        <v>6.5335753176043551E-2</v>
      </c>
      <c r="N33" s="7">
        <f t="shared" si="2"/>
        <v>0.13333333333333333</v>
      </c>
      <c r="O33" s="7">
        <f t="shared" si="1"/>
        <v>8.0940170940170937</v>
      </c>
    </row>
    <row r="34" spans="1:15" x14ac:dyDescent="0.35">
      <c r="A34">
        <v>33</v>
      </c>
      <c r="B34">
        <v>52</v>
      </c>
      <c r="C34" t="s">
        <v>12</v>
      </c>
      <c r="D34" t="s">
        <v>26</v>
      </c>
      <c r="E34" t="s">
        <v>30</v>
      </c>
      <c r="F34" t="s">
        <v>31</v>
      </c>
      <c r="G34">
        <v>2148</v>
      </c>
      <c r="H34">
        <v>469</v>
      </c>
      <c r="I34">
        <v>42</v>
      </c>
      <c r="J34" s="5">
        <v>6846</v>
      </c>
      <c r="K34" s="4">
        <v>303</v>
      </c>
      <c r="L34" s="6">
        <v>45756</v>
      </c>
      <c r="M34" s="7">
        <f t="shared" si="0"/>
        <v>0.21834264432029796</v>
      </c>
      <c r="N34" s="7">
        <f t="shared" si="2"/>
        <v>8.9552238805970144E-2</v>
      </c>
      <c r="O34" s="7">
        <f t="shared" si="1"/>
        <v>21.594059405940595</v>
      </c>
    </row>
    <row r="35" spans="1:15" x14ac:dyDescent="0.35">
      <c r="A35">
        <v>34</v>
      </c>
      <c r="B35">
        <v>19</v>
      </c>
      <c r="C35" t="s">
        <v>19</v>
      </c>
      <c r="D35" t="s">
        <v>26</v>
      </c>
      <c r="E35" t="s">
        <v>28</v>
      </c>
      <c r="F35" t="s">
        <v>31</v>
      </c>
      <c r="G35">
        <v>2700</v>
      </c>
      <c r="H35">
        <v>398</v>
      </c>
      <c r="I35">
        <v>22</v>
      </c>
      <c r="J35" s="5">
        <v>3542</v>
      </c>
      <c r="K35" s="4">
        <v>1077</v>
      </c>
      <c r="L35" s="6">
        <v>45692</v>
      </c>
      <c r="M35" s="7">
        <f t="shared" si="0"/>
        <v>0.1474074074074074</v>
      </c>
      <c r="N35" s="7">
        <f t="shared" si="2"/>
        <v>5.5276381909547742E-2</v>
      </c>
      <c r="O35" s="7">
        <f t="shared" si="1"/>
        <v>2.2887650882079851</v>
      </c>
    </row>
    <row r="36" spans="1:15" x14ac:dyDescent="0.35">
      <c r="A36">
        <v>35</v>
      </c>
      <c r="B36">
        <v>50</v>
      </c>
      <c r="C36" t="s">
        <v>12</v>
      </c>
      <c r="D36" t="s">
        <v>16</v>
      </c>
      <c r="E36" t="s">
        <v>25</v>
      </c>
      <c r="F36" t="s">
        <v>15</v>
      </c>
      <c r="G36">
        <v>4291</v>
      </c>
      <c r="H36">
        <v>494</v>
      </c>
      <c r="I36">
        <v>45</v>
      </c>
      <c r="J36" s="5">
        <v>6615</v>
      </c>
      <c r="K36" s="4">
        <v>360</v>
      </c>
      <c r="L36" s="6">
        <v>45705</v>
      </c>
      <c r="M36" s="7">
        <f t="shared" si="0"/>
        <v>0.11512467956187369</v>
      </c>
      <c r="N36" s="7">
        <f t="shared" si="2"/>
        <v>9.1093117408906882E-2</v>
      </c>
      <c r="O36" s="7">
        <f t="shared" si="1"/>
        <v>17.375</v>
      </c>
    </row>
    <row r="37" spans="1:15" x14ac:dyDescent="0.35">
      <c r="A37">
        <v>36</v>
      </c>
      <c r="B37">
        <v>34</v>
      </c>
      <c r="C37" t="s">
        <v>12</v>
      </c>
      <c r="D37" t="s">
        <v>23</v>
      </c>
      <c r="E37" t="s">
        <v>34</v>
      </c>
      <c r="F37" t="s">
        <v>29</v>
      </c>
      <c r="G37">
        <v>4487</v>
      </c>
      <c r="H37">
        <v>433</v>
      </c>
      <c r="I37">
        <v>12</v>
      </c>
      <c r="J37" s="5">
        <v>1752</v>
      </c>
      <c r="K37" s="4">
        <v>1358</v>
      </c>
      <c r="L37" s="6">
        <v>45705</v>
      </c>
      <c r="M37" s="7">
        <f t="shared" si="0"/>
        <v>9.6501002897258742E-2</v>
      </c>
      <c r="N37" s="7">
        <f t="shared" si="2"/>
        <v>2.771362586605081E-2</v>
      </c>
      <c r="O37" s="7">
        <f t="shared" si="1"/>
        <v>0.29013254786450665</v>
      </c>
    </row>
    <row r="38" spans="1:15" x14ac:dyDescent="0.35">
      <c r="A38">
        <v>37</v>
      </c>
      <c r="B38">
        <v>25</v>
      </c>
      <c r="C38" t="s">
        <v>19</v>
      </c>
      <c r="D38" t="s">
        <v>26</v>
      </c>
      <c r="E38" t="s">
        <v>33</v>
      </c>
      <c r="F38" t="s">
        <v>29</v>
      </c>
      <c r="G38">
        <v>1454</v>
      </c>
      <c r="H38">
        <v>420</v>
      </c>
      <c r="I38">
        <v>26</v>
      </c>
      <c r="J38" s="5">
        <v>2834</v>
      </c>
      <c r="K38" s="4">
        <v>949</v>
      </c>
      <c r="L38" s="6">
        <v>45678</v>
      </c>
      <c r="M38" s="7">
        <f t="shared" si="0"/>
        <v>0.28885832187070154</v>
      </c>
      <c r="N38" s="7">
        <f t="shared" si="2"/>
        <v>6.1904761904761907E-2</v>
      </c>
      <c r="O38" s="7">
        <f t="shared" si="1"/>
        <v>1.9863013698630136</v>
      </c>
    </row>
    <row r="39" spans="1:15" x14ac:dyDescent="0.35">
      <c r="A39">
        <v>38</v>
      </c>
      <c r="B39">
        <v>52</v>
      </c>
      <c r="C39" t="s">
        <v>12</v>
      </c>
      <c r="D39" t="s">
        <v>23</v>
      </c>
      <c r="E39" t="s">
        <v>34</v>
      </c>
      <c r="F39" t="s">
        <v>18</v>
      </c>
      <c r="G39">
        <v>1459</v>
      </c>
      <c r="H39">
        <v>366</v>
      </c>
      <c r="I39">
        <v>52</v>
      </c>
      <c r="J39" s="5">
        <v>4316</v>
      </c>
      <c r="K39" s="4">
        <v>858</v>
      </c>
      <c r="L39" s="6">
        <v>45674</v>
      </c>
      <c r="M39" s="7">
        <f t="shared" si="0"/>
        <v>0.25085675119945167</v>
      </c>
      <c r="N39" s="7">
        <f t="shared" si="2"/>
        <v>0.14207650273224043</v>
      </c>
      <c r="O39" s="7">
        <f t="shared" si="1"/>
        <v>4.0303030303030303</v>
      </c>
    </row>
    <row r="40" spans="1:15" x14ac:dyDescent="0.35">
      <c r="A40">
        <v>39</v>
      </c>
      <c r="B40">
        <v>52</v>
      </c>
      <c r="C40" t="s">
        <v>12</v>
      </c>
      <c r="D40" t="s">
        <v>23</v>
      </c>
      <c r="E40" t="s">
        <v>30</v>
      </c>
      <c r="F40" t="s">
        <v>18</v>
      </c>
      <c r="G40">
        <v>1743</v>
      </c>
      <c r="H40">
        <v>207</v>
      </c>
      <c r="I40">
        <v>50</v>
      </c>
      <c r="J40" s="5">
        <v>4250</v>
      </c>
      <c r="K40" s="4">
        <v>1596</v>
      </c>
      <c r="L40" s="6">
        <v>45694</v>
      </c>
      <c r="M40" s="7">
        <f t="shared" si="0"/>
        <v>0.11876075731497418</v>
      </c>
      <c r="N40" s="7">
        <f t="shared" si="2"/>
        <v>0.24154589371980675</v>
      </c>
      <c r="O40" s="7">
        <f t="shared" si="1"/>
        <v>1.662907268170426</v>
      </c>
    </row>
    <row r="41" spans="1:15" x14ac:dyDescent="0.35">
      <c r="A41">
        <v>40</v>
      </c>
      <c r="B41">
        <v>52</v>
      </c>
      <c r="C41" t="s">
        <v>12</v>
      </c>
      <c r="D41" t="s">
        <v>26</v>
      </c>
      <c r="E41" t="s">
        <v>34</v>
      </c>
      <c r="F41" t="s">
        <v>31</v>
      </c>
      <c r="G41">
        <v>2827</v>
      </c>
      <c r="H41">
        <v>398</v>
      </c>
      <c r="I41">
        <v>50</v>
      </c>
      <c r="J41" s="5">
        <v>8700</v>
      </c>
      <c r="K41" s="4">
        <v>380</v>
      </c>
      <c r="L41" s="6">
        <v>45773</v>
      </c>
      <c r="M41" s="7">
        <f t="shared" si="0"/>
        <v>0.14078528475415636</v>
      </c>
      <c r="N41" s="7">
        <f t="shared" si="2"/>
        <v>0.12562814070351758</v>
      </c>
      <c r="O41" s="7">
        <f t="shared" si="1"/>
        <v>21.894736842105264</v>
      </c>
    </row>
    <row r="42" spans="1:15" x14ac:dyDescent="0.35">
      <c r="A42">
        <v>41</v>
      </c>
      <c r="B42">
        <v>35</v>
      </c>
      <c r="C42" t="s">
        <v>12</v>
      </c>
      <c r="D42" t="s">
        <v>16</v>
      </c>
      <c r="E42" t="s">
        <v>30</v>
      </c>
      <c r="F42" t="s">
        <v>22</v>
      </c>
      <c r="G42">
        <v>690</v>
      </c>
      <c r="H42">
        <v>302</v>
      </c>
      <c r="I42">
        <v>36</v>
      </c>
      <c r="J42" s="5">
        <v>5256</v>
      </c>
      <c r="K42" s="4">
        <v>1384</v>
      </c>
      <c r="L42" s="6">
        <v>45763</v>
      </c>
      <c r="M42" s="7">
        <f t="shared" si="0"/>
        <v>0.43768115942028984</v>
      </c>
      <c r="N42" s="7">
        <f t="shared" si="2"/>
        <v>0.11920529801324503</v>
      </c>
      <c r="O42" s="7">
        <f t="shared" si="1"/>
        <v>2.7976878612716765</v>
      </c>
    </row>
    <row r="43" spans="1:15" x14ac:dyDescent="0.35">
      <c r="A43">
        <v>42</v>
      </c>
      <c r="B43">
        <v>39</v>
      </c>
      <c r="C43" t="s">
        <v>12</v>
      </c>
      <c r="D43" t="s">
        <v>23</v>
      </c>
      <c r="E43" t="s">
        <v>14</v>
      </c>
      <c r="F43" t="s">
        <v>29</v>
      </c>
      <c r="G43">
        <v>1069</v>
      </c>
      <c r="H43">
        <v>372</v>
      </c>
      <c r="I43">
        <v>50</v>
      </c>
      <c r="J43" s="5">
        <v>5550</v>
      </c>
      <c r="K43" s="4">
        <v>825</v>
      </c>
      <c r="L43" s="6">
        <v>45723</v>
      </c>
      <c r="M43" s="7">
        <f t="shared" si="0"/>
        <v>0.34798877455565952</v>
      </c>
      <c r="N43" s="7">
        <f t="shared" si="2"/>
        <v>0.13440860215053763</v>
      </c>
      <c r="O43" s="7">
        <f t="shared" si="1"/>
        <v>5.7272727272727275</v>
      </c>
    </row>
    <row r="44" spans="1:15" x14ac:dyDescent="0.35">
      <c r="A44">
        <v>43</v>
      </c>
      <c r="B44">
        <v>26</v>
      </c>
      <c r="C44" t="s">
        <v>19</v>
      </c>
      <c r="D44" t="s">
        <v>16</v>
      </c>
      <c r="E44" t="s">
        <v>28</v>
      </c>
      <c r="F44" t="s">
        <v>15</v>
      </c>
      <c r="G44">
        <v>654</v>
      </c>
      <c r="H44">
        <v>435</v>
      </c>
      <c r="I44">
        <v>21</v>
      </c>
      <c r="J44" s="5">
        <v>2352</v>
      </c>
      <c r="K44" s="4">
        <v>1327</v>
      </c>
      <c r="L44" s="6">
        <v>45705</v>
      </c>
      <c r="M44" s="7">
        <f t="shared" si="0"/>
        <v>0.66513761467889909</v>
      </c>
      <c r="N44" s="7">
        <f t="shared" si="2"/>
        <v>4.8275862068965517E-2</v>
      </c>
      <c r="O44" s="7">
        <f t="shared" si="1"/>
        <v>0.77241899020346649</v>
      </c>
    </row>
    <row r="45" spans="1:15" x14ac:dyDescent="0.35">
      <c r="A45">
        <v>44</v>
      </c>
      <c r="B45">
        <v>30</v>
      </c>
      <c r="C45" t="s">
        <v>19</v>
      </c>
      <c r="D45" t="s">
        <v>26</v>
      </c>
      <c r="E45" t="s">
        <v>21</v>
      </c>
      <c r="F45" t="s">
        <v>29</v>
      </c>
      <c r="G45">
        <v>3306</v>
      </c>
      <c r="H45">
        <v>75</v>
      </c>
      <c r="I45">
        <v>54</v>
      </c>
      <c r="J45" s="5">
        <v>5562</v>
      </c>
      <c r="K45" s="4">
        <v>1120</v>
      </c>
      <c r="L45" s="6">
        <v>45664</v>
      </c>
      <c r="M45" s="7">
        <f t="shared" si="0"/>
        <v>2.2686025408348458E-2</v>
      </c>
      <c r="N45" s="7">
        <f t="shared" si="2"/>
        <v>0.72</v>
      </c>
      <c r="O45" s="7">
        <f t="shared" si="1"/>
        <v>3.9660714285714285</v>
      </c>
    </row>
    <row r="46" spans="1:15" x14ac:dyDescent="0.35">
      <c r="A46">
        <v>45</v>
      </c>
      <c r="B46">
        <v>33</v>
      </c>
      <c r="C46" t="s">
        <v>12</v>
      </c>
      <c r="D46" t="s">
        <v>16</v>
      </c>
      <c r="E46" t="s">
        <v>24</v>
      </c>
      <c r="F46" t="s">
        <v>29</v>
      </c>
      <c r="G46">
        <v>4631</v>
      </c>
      <c r="H46">
        <v>222</v>
      </c>
      <c r="I46">
        <v>24</v>
      </c>
      <c r="J46" s="5">
        <v>2088</v>
      </c>
      <c r="K46" s="4">
        <v>520</v>
      </c>
      <c r="L46" s="6">
        <v>45744</v>
      </c>
      <c r="M46" s="7">
        <f t="shared" si="0"/>
        <v>4.7937810408119196E-2</v>
      </c>
      <c r="N46" s="7">
        <f t="shared" si="2"/>
        <v>0.10810810810810811</v>
      </c>
      <c r="O46" s="7">
        <f t="shared" si="1"/>
        <v>3.0153846153846153</v>
      </c>
    </row>
    <row r="47" spans="1:15" x14ac:dyDescent="0.35">
      <c r="A47">
        <v>46</v>
      </c>
      <c r="B47">
        <v>39</v>
      </c>
      <c r="C47" t="s">
        <v>19</v>
      </c>
      <c r="D47" t="s">
        <v>20</v>
      </c>
      <c r="E47" t="s">
        <v>24</v>
      </c>
      <c r="F47" t="s">
        <v>15</v>
      </c>
      <c r="G47">
        <v>1666</v>
      </c>
      <c r="H47">
        <v>141</v>
      </c>
      <c r="I47">
        <v>70</v>
      </c>
      <c r="J47" s="5">
        <v>9940</v>
      </c>
      <c r="K47" s="4">
        <v>926</v>
      </c>
      <c r="L47" s="6">
        <v>45682</v>
      </c>
      <c r="M47" s="7">
        <f t="shared" si="0"/>
        <v>8.4633853541416573E-2</v>
      </c>
      <c r="N47" s="7">
        <f t="shared" si="2"/>
        <v>0.49645390070921985</v>
      </c>
      <c r="O47" s="7">
        <f t="shared" si="1"/>
        <v>9.7343412526997835</v>
      </c>
    </row>
    <row r="48" spans="1:15" x14ac:dyDescent="0.35">
      <c r="A48">
        <v>47</v>
      </c>
      <c r="B48">
        <v>39</v>
      </c>
      <c r="C48" t="s">
        <v>12</v>
      </c>
      <c r="D48" t="s">
        <v>23</v>
      </c>
      <c r="E48" t="s">
        <v>34</v>
      </c>
      <c r="F48" t="s">
        <v>31</v>
      </c>
      <c r="G48">
        <v>4269</v>
      </c>
      <c r="H48">
        <v>112</v>
      </c>
      <c r="I48">
        <v>66</v>
      </c>
      <c r="J48" s="5">
        <v>6666</v>
      </c>
      <c r="K48" s="4">
        <v>1348</v>
      </c>
      <c r="L48" s="6">
        <v>45709</v>
      </c>
      <c r="M48" s="7">
        <f t="shared" si="0"/>
        <v>2.6235652377605997E-2</v>
      </c>
      <c r="N48" s="7">
        <f t="shared" si="2"/>
        <v>0.5892857142857143</v>
      </c>
      <c r="O48" s="7">
        <f t="shared" si="1"/>
        <v>3.9451038575667656</v>
      </c>
    </row>
    <row r="49" spans="1:15" x14ac:dyDescent="0.35">
      <c r="A49">
        <v>48</v>
      </c>
      <c r="B49">
        <v>25</v>
      </c>
      <c r="C49" t="s">
        <v>12</v>
      </c>
      <c r="D49" t="s">
        <v>20</v>
      </c>
      <c r="E49" t="s">
        <v>25</v>
      </c>
      <c r="F49" t="s">
        <v>31</v>
      </c>
      <c r="G49">
        <v>4354</v>
      </c>
      <c r="H49">
        <v>103</v>
      </c>
      <c r="I49">
        <v>64</v>
      </c>
      <c r="J49" s="5">
        <v>11264</v>
      </c>
      <c r="K49" s="4">
        <v>812</v>
      </c>
      <c r="L49" s="6">
        <v>45717</v>
      </c>
      <c r="M49" s="7">
        <f t="shared" si="0"/>
        <v>2.3656407900780892E-2</v>
      </c>
      <c r="N49" s="7">
        <f t="shared" si="2"/>
        <v>0.62135922330097082</v>
      </c>
      <c r="O49" s="7">
        <f t="shared" si="1"/>
        <v>12.871921182266011</v>
      </c>
    </row>
    <row r="50" spans="1:15" x14ac:dyDescent="0.35">
      <c r="A50">
        <v>49</v>
      </c>
      <c r="B50">
        <v>23</v>
      </c>
      <c r="C50" t="s">
        <v>12</v>
      </c>
      <c r="D50" t="s">
        <v>13</v>
      </c>
      <c r="E50" t="s">
        <v>32</v>
      </c>
      <c r="F50" t="s">
        <v>22</v>
      </c>
      <c r="G50">
        <v>3551</v>
      </c>
      <c r="H50">
        <v>157</v>
      </c>
      <c r="I50">
        <v>9</v>
      </c>
      <c r="J50" s="5">
        <v>1323</v>
      </c>
      <c r="K50" s="4">
        <v>1326</v>
      </c>
      <c r="L50" s="6">
        <v>45751</v>
      </c>
      <c r="M50" s="7">
        <f t="shared" si="0"/>
        <v>4.4212897775274568E-2</v>
      </c>
      <c r="N50" s="7">
        <f t="shared" si="2"/>
        <v>5.7324840764331211E-2</v>
      </c>
      <c r="O50" s="7">
        <f t="shared" si="1"/>
        <v>-2.2624434389140274E-3</v>
      </c>
    </row>
    <row r="51" spans="1:15" x14ac:dyDescent="0.35">
      <c r="A51">
        <v>50</v>
      </c>
      <c r="B51">
        <v>33</v>
      </c>
      <c r="C51" t="s">
        <v>12</v>
      </c>
      <c r="D51" t="s">
        <v>20</v>
      </c>
      <c r="E51" t="s">
        <v>33</v>
      </c>
      <c r="F51" t="s">
        <v>22</v>
      </c>
      <c r="G51">
        <v>4642</v>
      </c>
      <c r="H51">
        <v>404</v>
      </c>
      <c r="I51">
        <v>59</v>
      </c>
      <c r="J51" s="5">
        <v>7729</v>
      </c>
      <c r="K51" s="4">
        <v>1135</v>
      </c>
      <c r="L51" s="6">
        <v>45763</v>
      </c>
      <c r="M51" s="7">
        <f t="shared" si="0"/>
        <v>8.7031451960361911E-2</v>
      </c>
      <c r="N51" s="7">
        <f t="shared" si="2"/>
        <v>0.14603960396039603</v>
      </c>
      <c r="O51" s="7">
        <f t="shared" si="1"/>
        <v>5.8096916299559469</v>
      </c>
    </row>
    <row r="52" spans="1:15" x14ac:dyDescent="0.35">
      <c r="A52">
        <v>51</v>
      </c>
      <c r="B52">
        <v>36</v>
      </c>
      <c r="C52" t="s">
        <v>12</v>
      </c>
      <c r="D52" t="s">
        <v>13</v>
      </c>
      <c r="E52" t="s">
        <v>21</v>
      </c>
      <c r="F52" t="s">
        <v>15</v>
      </c>
      <c r="G52">
        <v>2193</v>
      </c>
      <c r="H52">
        <v>196</v>
      </c>
      <c r="I52">
        <v>21</v>
      </c>
      <c r="J52" s="5">
        <v>2982</v>
      </c>
      <c r="K52" s="4">
        <v>319</v>
      </c>
      <c r="L52" s="6">
        <v>45712</v>
      </c>
      <c r="M52" s="7">
        <f t="shared" si="0"/>
        <v>8.9375284997720017E-2</v>
      </c>
      <c r="N52" s="7">
        <f t="shared" si="2"/>
        <v>0.10714285714285714</v>
      </c>
      <c r="O52" s="7">
        <f t="shared" si="1"/>
        <v>8.3479623824451412</v>
      </c>
    </row>
    <row r="53" spans="1:15" x14ac:dyDescent="0.35">
      <c r="A53">
        <v>52</v>
      </c>
      <c r="B53">
        <v>29</v>
      </c>
      <c r="C53" t="s">
        <v>19</v>
      </c>
      <c r="D53" t="s">
        <v>26</v>
      </c>
      <c r="E53" t="s">
        <v>25</v>
      </c>
      <c r="F53" t="s">
        <v>29</v>
      </c>
      <c r="G53">
        <v>1869</v>
      </c>
      <c r="H53">
        <v>278</v>
      </c>
      <c r="I53">
        <v>66</v>
      </c>
      <c r="J53" s="5">
        <v>5808</v>
      </c>
      <c r="K53" s="4">
        <v>990</v>
      </c>
      <c r="L53" s="6">
        <v>45658</v>
      </c>
      <c r="M53" s="7">
        <f t="shared" si="0"/>
        <v>0.14874264312466559</v>
      </c>
      <c r="N53" s="7">
        <f t="shared" si="2"/>
        <v>0.23741007194244604</v>
      </c>
      <c r="O53" s="7">
        <f t="shared" si="1"/>
        <v>4.8666666666666663</v>
      </c>
    </row>
    <row r="54" spans="1:15" x14ac:dyDescent="0.35">
      <c r="A54">
        <v>53</v>
      </c>
      <c r="B54">
        <v>49</v>
      </c>
      <c r="C54" t="s">
        <v>12</v>
      </c>
      <c r="D54" t="s">
        <v>26</v>
      </c>
      <c r="E54" t="s">
        <v>28</v>
      </c>
      <c r="F54" t="s">
        <v>22</v>
      </c>
      <c r="G54">
        <v>1581</v>
      </c>
      <c r="H54">
        <v>171</v>
      </c>
      <c r="I54">
        <v>5</v>
      </c>
      <c r="J54" s="5">
        <v>565</v>
      </c>
      <c r="K54" s="4">
        <v>1974</v>
      </c>
      <c r="L54" s="6">
        <v>45705</v>
      </c>
      <c r="M54" s="7">
        <f t="shared" si="0"/>
        <v>0.10815939278937381</v>
      </c>
      <c r="N54" s="7">
        <f t="shared" si="2"/>
        <v>2.9239766081871343E-2</v>
      </c>
      <c r="O54" s="7">
        <f t="shared" si="1"/>
        <v>-0.71377912867274573</v>
      </c>
    </row>
    <row r="55" spans="1:15" x14ac:dyDescent="0.35">
      <c r="A55">
        <v>54</v>
      </c>
      <c r="B55">
        <v>22</v>
      </c>
      <c r="C55" t="s">
        <v>12</v>
      </c>
      <c r="D55" t="s">
        <v>26</v>
      </c>
      <c r="E55" t="s">
        <v>28</v>
      </c>
      <c r="F55" t="s">
        <v>15</v>
      </c>
      <c r="G55">
        <v>4172</v>
      </c>
      <c r="H55">
        <v>286</v>
      </c>
      <c r="I55">
        <v>5</v>
      </c>
      <c r="J55" s="5">
        <v>700</v>
      </c>
      <c r="K55" s="4">
        <v>1495</v>
      </c>
      <c r="L55" s="6">
        <v>45750</v>
      </c>
      <c r="M55" s="7">
        <f t="shared" si="0"/>
        <v>6.85522531160115E-2</v>
      </c>
      <c r="N55" s="7">
        <f t="shared" si="2"/>
        <v>1.7482517482517484E-2</v>
      </c>
      <c r="O55" s="7">
        <f t="shared" si="1"/>
        <v>-0.5317725752508361</v>
      </c>
    </row>
    <row r="56" spans="1:15" x14ac:dyDescent="0.35">
      <c r="A56">
        <v>55</v>
      </c>
      <c r="B56">
        <v>54</v>
      </c>
      <c r="C56" t="s">
        <v>12</v>
      </c>
      <c r="D56" t="s">
        <v>26</v>
      </c>
      <c r="E56" t="s">
        <v>28</v>
      </c>
      <c r="F56" t="s">
        <v>15</v>
      </c>
      <c r="G56">
        <v>2794</v>
      </c>
      <c r="H56">
        <v>125</v>
      </c>
      <c r="I56">
        <v>30</v>
      </c>
      <c r="J56" s="5">
        <v>3900</v>
      </c>
      <c r="K56" s="4">
        <v>1879</v>
      </c>
      <c r="L56" s="6">
        <v>45714</v>
      </c>
      <c r="M56" s="7">
        <f t="shared" si="0"/>
        <v>4.4738725841088046E-2</v>
      </c>
      <c r="N56" s="7">
        <f t="shared" si="2"/>
        <v>0.24</v>
      </c>
      <c r="O56" s="7">
        <f t="shared" si="1"/>
        <v>1.0755721128259712</v>
      </c>
    </row>
    <row r="57" spans="1:15" x14ac:dyDescent="0.35">
      <c r="A57">
        <v>56</v>
      </c>
      <c r="B57">
        <v>47</v>
      </c>
      <c r="C57" t="s">
        <v>12</v>
      </c>
      <c r="D57" t="s">
        <v>26</v>
      </c>
      <c r="E57" t="s">
        <v>32</v>
      </c>
      <c r="F57" t="s">
        <v>29</v>
      </c>
      <c r="G57">
        <v>3856</v>
      </c>
      <c r="H57">
        <v>269</v>
      </c>
      <c r="I57">
        <v>73</v>
      </c>
      <c r="J57" s="5">
        <v>14016</v>
      </c>
      <c r="K57" s="4">
        <v>1270</v>
      </c>
      <c r="L57" s="6">
        <v>45726</v>
      </c>
      <c r="M57" s="7">
        <f t="shared" si="0"/>
        <v>6.9761410788381745E-2</v>
      </c>
      <c r="N57" s="7">
        <f t="shared" si="2"/>
        <v>0.27137546468401486</v>
      </c>
      <c r="O57" s="7">
        <f t="shared" si="1"/>
        <v>10.036220472440945</v>
      </c>
    </row>
    <row r="58" spans="1:15" x14ac:dyDescent="0.35">
      <c r="A58">
        <v>57</v>
      </c>
      <c r="B58">
        <v>53</v>
      </c>
      <c r="C58" t="s">
        <v>19</v>
      </c>
      <c r="D58" t="s">
        <v>26</v>
      </c>
      <c r="E58" t="s">
        <v>34</v>
      </c>
      <c r="F58" t="s">
        <v>31</v>
      </c>
      <c r="G58">
        <v>3459</v>
      </c>
      <c r="H58">
        <v>267</v>
      </c>
      <c r="I58">
        <v>52</v>
      </c>
      <c r="J58" s="5">
        <v>6136</v>
      </c>
      <c r="K58" s="4">
        <v>540</v>
      </c>
      <c r="L58" s="6">
        <v>45751</v>
      </c>
      <c r="M58" s="7">
        <f t="shared" si="0"/>
        <v>7.7189939288811793E-2</v>
      </c>
      <c r="N58" s="7">
        <f t="shared" si="2"/>
        <v>0.19475655430711611</v>
      </c>
      <c r="O58" s="7">
        <f t="shared" si="1"/>
        <v>10.362962962962962</v>
      </c>
    </row>
    <row r="59" spans="1:15" x14ac:dyDescent="0.35">
      <c r="A59">
        <v>58</v>
      </c>
      <c r="B59">
        <v>53</v>
      </c>
      <c r="C59" t="s">
        <v>12</v>
      </c>
      <c r="D59" t="s">
        <v>20</v>
      </c>
      <c r="E59" t="s">
        <v>33</v>
      </c>
      <c r="F59" t="s">
        <v>31</v>
      </c>
      <c r="G59">
        <v>4952</v>
      </c>
      <c r="H59">
        <v>72</v>
      </c>
      <c r="I59">
        <v>14</v>
      </c>
      <c r="J59" s="5">
        <v>2072</v>
      </c>
      <c r="K59" s="4">
        <v>1981</v>
      </c>
      <c r="L59" s="6">
        <v>45709</v>
      </c>
      <c r="M59" s="7">
        <f t="shared" si="0"/>
        <v>1.4539579967689823E-2</v>
      </c>
      <c r="N59" s="7">
        <f t="shared" si="2"/>
        <v>0.19444444444444445</v>
      </c>
      <c r="O59" s="7">
        <f t="shared" si="1"/>
        <v>4.5936395759717315E-2</v>
      </c>
    </row>
    <row r="60" spans="1:15" x14ac:dyDescent="0.35">
      <c r="A60">
        <v>59</v>
      </c>
      <c r="B60">
        <v>21</v>
      </c>
      <c r="C60" t="s">
        <v>12</v>
      </c>
      <c r="D60" t="s">
        <v>13</v>
      </c>
      <c r="E60" t="s">
        <v>17</v>
      </c>
      <c r="F60" t="s">
        <v>31</v>
      </c>
      <c r="G60">
        <v>4230</v>
      </c>
      <c r="H60">
        <v>491</v>
      </c>
      <c r="I60">
        <v>5</v>
      </c>
      <c r="J60" s="5">
        <v>740</v>
      </c>
      <c r="K60" s="4">
        <v>1215</v>
      </c>
      <c r="L60" s="6">
        <v>45737</v>
      </c>
      <c r="M60" s="7">
        <f t="shared" si="0"/>
        <v>0.11607565011820331</v>
      </c>
      <c r="N60" s="7">
        <f t="shared" si="2"/>
        <v>1.0183299389002037E-2</v>
      </c>
      <c r="O60" s="7">
        <f t="shared" si="1"/>
        <v>-0.39094650205761317</v>
      </c>
    </row>
    <row r="61" spans="1:15" x14ac:dyDescent="0.35">
      <c r="A61">
        <v>60</v>
      </c>
      <c r="B61">
        <v>50</v>
      </c>
      <c r="C61" t="s">
        <v>19</v>
      </c>
      <c r="D61" t="s">
        <v>16</v>
      </c>
      <c r="E61" t="s">
        <v>34</v>
      </c>
      <c r="F61" t="s">
        <v>31</v>
      </c>
      <c r="G61">
        <v>1395</v>
      </c>
      <c r="H61">
        <v>209</v>
      </c>
      <c r="I61">
        <v>28</v>
      </c>
      <c r="J61" s="5">
        <v>3192</v>
      </c>
      <c r="K61" s="4">
        <v>889</v>
      </c>
      <c r="L61" s="6">
        <v>45718</v>
      </c>
      <c r="M61" s="7">
        <f t="shared" si="0"/>
        <v>0.14982078853046596</v>
      </c>
      <c r="N61" s="7">
        <f t="shared" si="2"/>
        <v>0.13397129186602871</v>
      </c>
      <c r="O61" s="7">
        <f t="shared" si="1"/>
        <v>2.590551181102362</v>
      </c>
    </row>
    <row r="62" spans="1:15" x14ac:dyDescent="0.35">
      <c r="A62">
        <v>61</v>
      </c>
      <c r="B62">
        <v>27</v>
      </c>
      <c r="C62" t="s">
        <v>12</v>
      </c>
      <c r="D62" t="s">
        <v>16</v>
      </c>
      <c r="E62" t="s">
        <v>33</v>
      </c>
      <c r="F62" t="s">
        <v>15</v>
      </c>
      <c r="G62">
        <v>3238</v>
      </c>
      <c r="H62">
        <v>476</v>
      </c>
      <c r="I62">
        <v>16</v>
      </c>
      <c r="J62" s="5">
        <v>1792</v>
      </c>
      <c r="K62" s="4">
        <v>1800</v>
      </c>
      <c r="L62" s="6">
        <v>45772</v>
      </c>
      <c r="M62" s="7">
        <f t="shared" si="0"/>
        <v>0.14700432365657815</v>
      </c>
      <c r="N62" s="7">
        <f t="shared" si="2"/>
        <v>3.3613445378151259E-2</v>
      </c>
      <c r="O62" s="7">
        <f t="shared" si="1"/>
        <v>-4.4444444444444444E-3</v>
      </c>
    </row>
    <row r="63" spans="1:15" x14ac:dyDescent="0.35">
      <c r="A63">
        <v>62</v>
      </c>
      <c r="B63">
        <v>27</v>
      </c>
      <c r="C63" t="s">
        <v>12</v>
      </c>
      <c r="D63" t="s">
        <v>23</v>
      </c>
      <c r="E63" t="s">
        <v>21</v>
      </c>
      <c r="F63" t="s">
        <v>18</v>
      </c>
      <c r="G63">
        <v>1253</v>
      </c>
      <c r="H63">
        <v>84</v>
      </c>
      <c r="I63">
        <v>12</v>
      </c>
      <c r="J63" s="5">
        <v>1260</v>
      </c>
      <c r="K63" s="4">
        <v>804</v>
      </c>
      <c r="L63" s="6">
        <v>45691</v>
      </c>
      <c r="M63" s="7">
        <f t="shared" si="0"/>
        <v>6.7039106145251395E-2</v>
      </c>
      <c r="N63" s="7">
        <f t="shared" si="2"/>
        <v>0.14285714285714285</v>
      </c>
      <c r="O63" s="7">
        <f t="shared" si="1"/>
        <v>0.56716417910447758</v>
      </c>
    </row>
    <row r="64" spans="1:15" x14ac:dyDescent="0.35">
      <c r="A64">
        <v>63</v>
      </c>
      <c r="B64">
        <v>28</v>
      </c>
      <c r="C64" t="s">
        <v>19</v>
      </c>
      <c r="D64" t="s">
        <v>26</v>
      </c>
      <c r="E64" t="s">
        <v>17</v>
      </c>
      <c r="F64" t="s">
        <v>15</v>
      </c>
      <c r="G64">
        <v>614</v>
      </c>
      <c r="H64">
        <v>154</v>
      </c>
      <c r="I64">
        <v>11</v>
      </c>
      <c r="J64" s="5">
        <v>1507</v>
      </c>
      <c r="K64" s="4">
        <v>1419</v>
      </c>
      <c r="L64" s="6">
        <v>45693</v>
      </c>
      <c r="M64" s="7">
        <f t="shared" si="0"/>
        <v>0.250814332247557</v>
      </c>
      <c r="N64" s="7">
        <f t="shared" si="2"/>
        <v>7.1428571428571425E-2</v>
      </c>
      <c r="O64" s="7">
        <f t="shared" si="1"/>
        <v>6.2015503875968991E-2</v>
      </c>
    </row>
    <row r="65" spans="1:15" x14ac:dyDescent="0.35">
      <c r="A65">
        <v>64</v>
      </c>
      <c r="B65">
        <v>26</v>
      </c>
      <c r="C65" t="s">
        <v>12</v>
      </c>
      <c r="D65" t="s">
        <v>26</v>
      </c>
      <c r="E65" t="s">
        <v>17</v>
      </c>
      <c r="F65" t="s">
        <v>22</v>
      </c>
      <c r="G65">
        <v>1228</v>
      </c>
      <c r="H65">
        <v>326</v>
      </c>
      <c r="I65">
        <v>40</v>
      </c>
      <c r="J65" s="5">
        <v>7200</v>
      </c>
      <c r="K65" s="4">
        <v>1617</v>
      </c>
      <c r="L65" s="6">
        <v>45721</v>
      </c>
      <c r="M65" s="7">
        <f t="shared" si="0"/>
        <v>0.26547231270358307</v>
      </c>
      <c r="N65" s="7">
        <f t="shared" si="2"/>
        <v>0.12269938650306748</v>
      </c>
      <c r="O65" s="7">
        <f t="shared" si="1"/>
        <v>3.4526901669758812</v>
      </c>
    </row>
    <row r="66" spans="1:15" x14ac:dyDescent="0.35">
      <c r="A66">
        <v>65</v>
      </c>
      <c r="B66">
        <v>49</v>
      </c>
      <c r="C66" t="s">
        <v>19</v>
      </c>
      <c r="D66" t="s">
        <v>23</v>
      </c>
      <c r="E66" t="s">
        <v>17</v>
      </c>
      <c r="F66" t="s">
        <v>22</v>
      </c>
      <c r="G66">
        <v>3286</v>
      </c>
      <c r="H66">
        <v>226</v>
      </c>
      <c r="I66">
        <v>40</v>
      </c>
      <c r="J66" s="5">
        <v>7680</v>
      </c>
      <c r="K66" s="4">
        <v>1177</v>
      </c>
      <c r="L66" s="6">
        <v>45680</v>
      </c>
      <c r="M66" s="7">
        <f t="shared" si="0"/>
        <v>6.877662811929397E-2</v>
      </c>
      <c r="N66" s="7">
        <f t="shared" si="2"/>
        <v>0.17699115044247787</v>
      </c>
      <c r="O66" s="7">
        <f t="shared" si="1"/>
        <v>5.5250637213254032</v>
      </c>
    </row>
    <row r="67" spans="1:15" x14ac:dyDescent="0.35">
      <c r="A67">
        <v>66</v>
      </c>
      <c r="B67">
        <v>42</v>
      </c>
      <c r="C67" t="s">
        <v>12</v>
      </c>
      <c r="D67" t="s">
        <v>27</v>
      </c>
      <c r="E67" t="s">
        <v>24</v>
      </c>
      <c r="F67" t="s">
        <v>15</v>
      </c>
      <c r="G67">
        <v>4632</v>
      </c>
      <c r="H67">
        <v>317</v>
      </c>
      <c r="I67">
        <v>59</v>
      </c>
      <c r="J67" s="5">
        <v>6018</v>
      </c>
      <c r="K67" s="4">
        <v>1748</v>
      </c>
      <c r="L67" s="6">
        <v>45762</v>
      </c>
      <c r="M67" s="7">
        <f t="shared" ref="M67:M130" si="3">H67/G67</f>
        <v>6.8436960276338513E-2</v>
      </c>
      <c r="N67" s="7">
        <f t="shared" ref="N67:N130" si="4">I67/H67</f>
        <v>0.18611987381703471</v>
      </c>
      <c r="O67" s="7">
        <f t="shared" ref="O67:O130" si="5">(J67-K67)/K67</f>
        <v>2.4427917620137301</v>
      </c>
    </row>
    <row r="68" spans="1:15" x14ac:dyDescent="0.35">
      <c r="A68">
        <v>67</v>
      </c>
      <c r="B68">
        <v>53</v>
      </c>
      <c r="C68" t="s">
        <v>12</v>
      </c>
      <c r="D68" t="s">
        <v>20</v>
      </c>
      <c r="E68" t="s">
        <v>30</v>
      </c>
      <c r="F68" t="s">
        <v>29</v>
      </c>
      <c r="G68">
        <v>4452</v>
      </c>
      <c r="H68">
        <v>111</v>
      </c>
      <c r="I68">
        <v>17</v>
      </c>
      <c r="J68" s="5">
        <v>1666</v>
      </c>
      <c r="K68" s="4">
        <v>898</v>
      </c>
      <c r="L68" s="6">
        <v>45676</v>
      </c>
      <c r="M68" s="7">
        <f t="shared" si="3"/>
        <v>2.4932614555256066E-2</v>
      </c>
      <c r="N68" s="7">
        <f t="shared" si="4"/>
        <v>0.15315315315315314</v>
      </c>
      <c r="O68" s="7">
        <f t="shared" si="5"/>
        <v>0.85523385300668153</v>
      </c>
    </row>
    <row r="69" spans="1:15" x14ac:dyDescent="0.35">
      <c r="A69">
        <v>68</v>
      </c>
      <c r="B69">
        <v>36</v>
      </c>
      <c r="C69" t="s">
        <v>19</v>
      </c>
      <c r="D69" t="s">
        <v>20</v>
      </c>
      <c r="E69" t="s">
        <v>21</v>
      </c>
      <c r="F69" t="s">
        <v>22</v>
      </c>
      <c r="G69">
        <v>4671</v>
      </c>
      <c r="H69">
        <v>314</v>
      </c>
      <c r="I69">
        <v>75</v>
      </c>
      <c r="J69" s="5">
        <v>13050</v>
      </c>
      <c r="K69" s="4">
        <v>917</v>
      </c>
      <c r="L69" s="6">
        <v>45768</v>
      </c>
      <c r="M69" s="7">
        <f t="shared" si="3"/>
        <v>6.7223292656818673E-2</v>
      </c>
      <c r="N69" s="7">
        <f t="shared" si="4"/>
        <v>0.23885350318471338</v>
      </c>
      <c r="O69" s="7">
        <f t="shared" si="5"/>
        <v>13.231188658669575</v>
      </c>
    </row>
    <row r="70" spans="1:15" x14ac:dyDescent="0.35">
      <c r="A70">
        <v>69</v>
      </c>
      <c r="B70">
        <v>42</v>
      </c>
      <c r="C70" t="s">
        <v>12</v>
      </c>
      <c r="D70" t="s">
        <v>23</v>
      </c>
      <c r="E70" t="s">
        <v>32</v>
      </c>
      <c r="F70" t="s">
        <v>31</v>
      </c>
      <c r="G70">
        <v>643</v>
      </c>
      <c r="H70">
        <v>422</v>
      </c>
      <c r="I70">
        <v>73</v>
      </c>
      <c r="J70" s="5">
        <v>6643</v>
      </c>
      <c r="K70" s="4">
        <v>1322</v>
      </c>
      <c r="L70" s="6">
        <v>45742</v>
      </c>
      <c r="M70" s="7">
        <f t="shared" si="3"/>
        <v>0.65629860031104204</v>
      </c>
      <c r="N70" s="7">
        <f t="shared" si="4"/>
        <v>0.17298578199052134</v>
      </c>
      <c r="O70" s="7">
        <f t="shared" si="5"/>
        <v>4.0249621785173977</v>
      </c>
    </row>
    <row r="71" spans="1:15" x14ac:dyDescent="0.35">
      <c r="A71">
        <v>70</v>
      </c>
      <c r="B71">
        <v>31</v>
      </c>
      <c r="C71" t="s">
        <v>12</v>
      </c>
      <c r="D71" t="s">
        <v>23</v>
      </c>
      <c r="E71" t="s">
        <v>21</v>
      </c>
      <c r="F71" t="s">
        <v>18</v>
      </c>
      <c r="G71">
        <v>4136</v>
      </c>
      <c r="H71">
        <v>200</v>
      </c>
      <c r="I71">
        <v>20</v>
      </c>
      <c r="J71" s="5">
        <v>2360</v>
      </c>
      <c r="K71" s="4">
        <v>768</v>
      </c>
      <c r="L71" s="6">
        <v>45662</v>
      </c>
      <c r="M71" s="7">
        <f t="shared" si="3"/>
        <v>4.8355899419729204E-2</v>
      </c>
      <c r="N71" s="7">
        <f t="shared" si="4"/>
        <v>0.1</v>
      </c>
      <c r="O71" s="7">
        <f t="shared" si="5"/>
        <v>2.0729166666666665</v>
      </c>
    </row>
    <row r="72" spans="1:15" x14ac:dyDescent="0.35">
      <c r="A72">
        <v>71</v>
      </c>
      <c r="B72">
        <v>29</v>
      </c>
      <c r="C72" t="s">
        <v>12</v>
      </c>
      <c r="D72" t="s">
        <v>16</v>
      </c>
      <c r="E72" t="s">
        <v>30</v>
      </c>
      <c r="F72" t="s">
        <v>29</v>
      </c>
      <c r="G72">
        <v>1232</v>
      </c>
      <c r="H72">
        <v>284</v>
      </c>
      <c r="I72">
        <v>79</v>
      </c>
      <c r="J72" s="5">
        <v>15010</v>
      </c>
      <c r="K72" s="4">
        <v>857</v>
      </c>
      <c r="L72" s="6">
        <v>45731</v>
      </c>
      <c r="M72" s="7">
        <f t="shared" si="3"/>
        <v>0.23051948051948051</v>
      </c>
      <c r="N72" s="7">
        <f t="shared" si="4"/>
        <v>0.27816901408450706</v>
      </c>
      <c r="O72" s="7">
        <f t="shared" si="5"/>
        <v>16.514585764294051</v>
      </c>
    </row>
    <row r="73" spans="1:15" x14ac:dyDescent="0.35">
      <c r="A73">
        <v>72</v>
      </c>
      <c r="B73">
        <v>26</v>
      </c>
      <c r="C73" t="s">
        <v>12</v>
      </c>
      <c r="D73" t="s">
        <v>13</v>
      </c>
      <c r="E73" t="s">
        <v>33</v>
      </c>
      <c r="F73" t="s">
        <v>18</v>
      </c>
      <c r="G73">
        <v>1453</v>
      </c>
      <c r="H73">
        <v>450</v>
      </c>
      <c r="I73">
        <v>11</v>
      </c>
      <c r="J73" s="5">
        <v>1012</v>
      </c>
      <c r="K73" s="4">
        <v>1397</v>
      </c>
      <c r="L73" s="6">
        <v>45684</v>
      </c>
      <c r="M73" s="7">
        <f t="shared" si="3"/>
        <v>0.30970406056434963</v>
      </c>
      <c r="N73" s="7">
        <f t="shared" si="4"/>
        <v>2.4444444444444446E-2</v>
      </c>
      <c r="O73" s="7">
        <f t="shared" si="5"/>
        <v>-0.27559055118110237</v>
      </c>
    </row>
    <row r="74" spans="1:15" x14ac:dyDescent="0.35">
      <c r="A74">
        <v>73</v>
      </c>
      <c r="B74">
        <v>36</v>
      </c>
      <c r="C74" t="s">
        <v>19</v>
      </c>
      <c r="D74" t="s">
        <v>26</v>
      </c>
      <c r="E74" t="s">
        <v>17</v>
      </c>
      <c r="F74" t="s">
        <v>22</v>
      </c>
      <c r="G74">
        <v>3181</v>
      </c>
      <c r="H74">
        <v>243</v>
      </c>
      <c r="I74">
        <v>9</v>
      </c>
      <c r="J74" s="5">
        <v>1044</v>
      </c>
      <c r="K74" s="4">
        <v>228</v>
      </c>
      <c r="L74" s="6">
        <v>45769</v>
      </c>
      <c r="M74" s="7">
        <f t="shared" si="3"/>
        <v>7.6391071989940273E-2</v>
      </c>
      <c r="N74" s="7">
        <f t="shared" si="4"/>
        <v>3.7037037037037035E-2</v>
      </c>
      <c r="O74" s="7">
        <f t="shared" si="5"/>
        <v>3.5789473684210527</v>
      </c>
    </row>
    <row r="75" spans="1:15" x14ac:dyDescent="0.35">
      <c r="A75">
        <v>74</v>
      </c>
      <c r="B75">
        <v>42</v>
      </c>
      <c r="C75" t="s">
        <v>12</v>
      </c>
      <c r="D75" t="s">
        <v>20</v>
      </c>
      <c r="E75" t="s">
        <v>32</v>
      </c>
      <c r="F75" t="s">
        <v>18</v>
      </c>
      <c r="G75">
        <v>1888</v>
      </c>
      <c r="H75">
        <v>370</v>
      </c>
      <c r="I75">
        <v>21</v>
      </c>
      <c r="J75" s="5">
        <v>3150</v>
      </c>
      <c r="K75" s="4">
        <v>710</v>
      </c>
      <c r="L75" s="6">
        <v>45693</v>
      </c>
      <c r="M75" s="7">
        <f t="shared" si="3"/>
        <v>0.19597457627118645</v>
      </c>
      <c r="N75" s="7">
        <f t="shared" si="4"/>
        <v>5.675675675675676E-2</v>
      </c>
      <c r="O75" s="7">
        <f t="shared" si="5"/>
        <v>3.436619718309859</v>
      </c>
    </row>
    <row r="76" spans="1:15" x14ac:dyDescent="0.35">
      <c r="A76">
        <v>75</v>
      </c>
      <c r="B76">
        <v>44</v>
      </c>
      <c r="C76" t="s">
        <v>19</v>
      </c>
      <c r="D76" t="s">
        <v>13</v>
      </c>
      <c r="E76" t="s">
        <v>21</v>
      </c>
      <c r="F76" t="s">
        <v>18</v>
      </c>
      <c r="G76">
        <v>3641</v>
      </c>
      <c r="H76">
        <v>301</v>
      </c>
      <c r="I76">
        <v>35</v>
      </c>
      <c r="J76" s="5">
        <v>6545</v>
      </c>
      <c r="K76" s="4">
        <v>644</v>
      </c>
      <c r="L76" s="6">
        <v>45747</v>
      </c>
      <c r="M76" s="7">
        <f t="shared" si="3"/>
        <v>8.2669596264762432E-2</v>
      </c>
      <c r="N76" s="7">
        <f t="shared" si="4"/>
        <v>0.11627906976744186</v>
      </c>
      <c r="O76" s="7">
        <f t="shared" si="5"/>
        <v>9.1630434782608692</v>
      </c>
    </row>
    <row r="77" spans="1:15" x14ac:dyDescent="0.35">
      <c r="A77">
        <v>76</v>
      </c>
      <c r="B77">
        <v>45</v>
      </c>
      <c r="C77" t="s">
        <v>12</v>
      </c>
      <c r="D77" t="s">
        <v>23</v>
      </c>
      <c r="E77" t="s">
        <v>21</v>
      </c>
      <c r="F77" t="s">
        <v>18</v>
      </c>
      <c r="G77">
        <v>4102</v>
      </c>
      <c r="H77">
        <v>88</v>
      </c>
      <c r="I77">
        <v>71</v>
      </c>
      <c r="J77" s="5">
        <v>6532</v>
      </c>
      <c r="K77" s="4">
        <v>372</v>
      </c>
      <c r="L77" s="6">
        <v>45677</v>
      </c>
      <c r="M77" s="7">
        <f t="shared" si="3"/>
        <v>2.1452949780594831E-2</v>
      </c>
      <c r="N77" s="7">
        <f t="shared" si="4"/>
        <v>0.80681818181818177</v>
      </c>
      <c r="O77" s="7">
        <f t="shared" si="5"/>
        <v>16.559139784946236</v>
      </c>
    </row>
    <row r="78" spans="1:15" x14ac:dyDescent="0.35">
      <c r="A78">
        <v>77</v>
      </c>
      <c r="B78">
        <v>30</v>
      </c>
      <c r="C78" t="s">
        <v>12</v>
      </c>
      <c r="D78" t="s">
        <v>23</v>
      </c>
      <c r="E78" t="s">
        <v>30</v>
      </c>
      <c r="F78" t="s">
        <v>29</v>
      </c>
      <c r="G78">
        <v>955</v>
      </c>
      <c r="H78">
        <v>366</v>
      </c>
      <c r="I78">
        <v>43</v>
      </c>
      <c r="J78" s="5">
        <v>3526</v>
      </c>
      <c r="K78" s="4">
        <v>1224</v>
      </c>
      <c r="L78" s="6">
        <v>45720</v>
      </c>
      <c r="M78" s="7">
        <f t="shared" si="3"/>
        <v>0.3832460732984293</v>
      </c>
      <c r="N78" s="7">
        <f t="shared" si="4"/>
        <v>0.11748633879781421</v>
      </c>
      <c r="O78" s="7">
        <f t="shared" si="5"/>
        <v>1.880718954248366</v>
      </c>
    </row>
    <row r="79" spans="1:15" x14ac:dyDescent="0.35">
      <c r="A79">
        <v>78</v>
      </c>
      <c r="B79">
        <v>23</v>
      </c>
      <c r="C79" t="s">
        <v>19</v>
      </c>
      <c r="D79" t="s">
        <v>20</v>
      </c>
      <c r="E79" t="s">
        <v>21</v>
      </c>
      <c r="F79" t="s">
        <v>31</v>
      </c>
      <c r="G79">
        <v>2031</v>
      </c>
      <c r="H79">
        <v>418</v>
      </c>
      <c r="I79">
        <v>29</v>
      </c>
      <c r="J79" s="5">
        <v>3248</v>
      </c>
      <c r="K79" s="4">
        <v>1023</v>
      </c>
      <c r="L79" s="6">
        <v>45701</v>
      </c>
      <c r="M79" s="7">
        <f t="shared" si="3"/>
        <v>0.20580994583948795</v>
      </c>
      <c r="N79" s="7">
        <f t="shared" si="4"/>
        <v>6.9377990430622011E-2</v>
      </c>
      <c r="O79" s="7">
        <f t="shared" si="5"/>
        <v>2.1749755620723361</v>
      </c>
    </row>
    <row r="80" spans="1:15" x14ac:dyDescent="0.35">
      <c r="A80">
        <v>79</v>
      </c>
      <c r="B80">
        <v>38</v>
      </c>
      <c r="C80" t="s">
        <v>12</v>
      </c>
      <c r="D80" t="s">
        <v>27</v>
      </c>
      <c r="E80" t="s">
        <v>25</v>
      </c>
      <c r="F80" t="s">
        <v>29</v>
      </c>
      <c r="G80">
        <v>2352</v>
      </c>
      <c r="H80">
        <v>352</v>
      </c>
      <c r="I80">
        <v>25</v>
      </c>
      <c r="J80" s="5">
        <v>4925</v>
      </c>
      <c r="K80" s="4">
        <v>279</v>
      </c>
      <c r="L80" s="6">
        <v>45693</v>
      </c>
      <c r="M80" s="7">
        <f t="shared" si="3"/>
        <v>0.14965986394557823</v>
      </c>
      <c r="N80" s="7">
        <f t="shared" si="4"/>
        <v>7.1022727272727279E-2</v>
      </c>
      <c r="O80" s="7">
        <f t="shared" si="5"/>
        <v>16.652329749103941</v>
      </c>
    </row>
    <row r="81" spans="1:15" x14ac:dyDescent="0.35">
      <c r="A81">
        <v>80</v>
      </c>
      <c r="B81">
        <v>31</v>
      </c>
      <c r="C81" t="s">
        <v>19</v>
      </c>
      <c r="D81" t="s">
        <v>13</v>
      </c>
      <c r="E81" t="s">
        <v>34</v>
      </c>
      <c r="F81" t="s">
        <v>15</v>
      </c>
      <c r="G81">
        <v>1750</v>
      </c>
      <c r="H81">
        <v>196</v>
      </c>
      <c r="I81">
        <v>24</v>
      </c>
      <c r="J81" s="5">
        <v>2328</v>
      </c>
      <c r="K81" s="4">
        <v>1664</v>
      </c>
      <c r="L81" s="6">
        <v>45774</v>
      </c>
      <c r="M81" s="7">
        <f t="shared" si="3"/>
        <v>0.112</v>
      </c>
      <c r="N81" s="7">
        <f t="shared" si="4"/>
        <v>0.12244897959183673</v>
      </c>
      <c r="O81" s="7">
        <f t="shared" si="5"/>
        <v>0.39903846153846156</v>
      </c>
    </row>
    <row r="82" spans="1:15" x14ac:dyDescent="0.35">
      <c r="A82">
        <v>81</v>
      </c>
      <c r="B82">
        <v>28</v>
      </c>
      <c r="C82" t="s">
        <v>12</v>
      </c>
      <c r="D82" t="s">
        <v>13</v>
      </c>
      <c r="E82" t="s">
        <v>21</v>
      </c>
      <c r="F82" t="s">
        <v>31</v>
      </c>
      <c r="G82">
        <v>4137</v>
      </c>
      <c r="H82">
        <v>423</v>
      </c>
      <c r="I82">
        <v>7</v>
      </c>
      <c r="J82" s="5">
        <v>1162</v>
      </c>
      <c r="K82" s="4">
        <v>855</v>
      </c>
      <c r="L82" s="6">
        <v>45753</v>
      </c>
      <c r="M82" s="7">
        <f t="shared" si="3"/>
        <v>0.10224800580130529</v>
      </c>
      <c r="N82" s="7">
        <f t="shared" si="4"/>
        <v>1.6548463356973995E-2</v>
      </c>
      <c r="O82" s="7">
        <f t="shared" si="5"/>
        <v>0.35906432748538014</v>
      </c>
    </row>
    <row r="83" spans="1:15" x14ac:dyDescent="0.35">
      <c r="A83">
        <v>82</v>
      </c>
      <c r="B83">
        <v>25</v>
      </c>
      <c r="C83" t="s">
        <v>12</v>
      </c>
      <c r="D83" t="s">
        <v>23</v>
      </c>
      <c r="E83" t="s">
        <v>21</v>
      </c>
      <c r="F83" t="s">
        <v>31</v>
      </c>
      <c r="G83">
        <v>3331</v>
      </c>
      <c r="H83">
        <v>407</v>
      </c>
      <c r="I83">
        <v>28</v>
      </c>
      <c r="J83" s="5">
        <v>5488</v>
      </c>
      <c r="K83" s="4">
        <v>867</v>
      </c>
      <c r="L83" s="6">
        <v>45749</v>
      </c>
      <c r="M83" s="7">
        <f t="shared" si="3"/>
        <v>0.12218552987090964</v>
      </c>
      <c r="N83" s="7">
        <f t="shared" si="4"/>
        <v>6.8796068796068796E-2</v>
      </c>
      <c r="O83" s="7">
        <f t="shared" si="5"/>
        <v>5.3298731257208765</v>
      </c>
    </row>
    <row r="84" spans="1:15" x14ac:dyDescent="0.35">
      <c r="A84">
        <v>83</v>
      </c>
      <c r="B84">
        <v>45</v>
      </c>
      <c r="C84" t="s">
        <v>12</v>
      </c>
      <c r="D84" t="s">
        <v>23</v>
      </c>
      <c r="E84" t="s">
        <v>25</v>
      </c>
      <c r="F84" t="s">
        <v>18</v>
      </c>
      <c r="G84">
        <v>4685</v>
      </c>
      <c r="H84">
        <v>185</v>
      </c>
      <c r="I84">
        <v>62</v>
      </c>
      <c r="J84" s="5">
        <v>7998</v>
      </c>
      <c r="K84" s="4">
        <v>1539</v>
      </c>
      <c r="L84" s="6">
        <v>45698</v>
      </c>
      <c r="M84" s="7">
        <f t="shared" si="3"/>
        <v>3.9487726787620067E-2</v>
      </c>
      <c r="N84" s="7">
        <f t="shared" si="4"/>
        <v>0.33513513513513515</v>
      </c>
      <c r="O84" s="7">
        <f t="shared" si="5"/>
        <v>4.196881091617934</v>
      </c>
    </row>
    <row r="85" spans="1:15" x14ac:dyDescent="0.35">
      <c r="A85">
        <v>84</v>
      </c>
      <c r="B85">
        <v>50</v>
      </c>
      <c r="C85" t="s">
        <v>12</v>
      </c>
      <c r="D85" t="s">
        <v>20</v>
      </c>
      <c r="E85" t="s">
        <v>25</v>
      </c>
      <c r="F85" t="s">
        <v>15</v>
      </c>
      <c r="G85">
        <v>4275</v>
      </c>
      <c r="H85">
        <v>460</v>
      </c>
      <c r="I85">
        <v>67</v>
      </c>
      <c r="J85" s="5">
        <v>10184</v>
      </c>
      <c r="K85" s="4">
        <v>1368</v>
      </c>
      <c r="L85" s="6">
        <v>45741</v>
      </c>
      <c r="M85" s="7">
        <f t="shared" si="3"/>
        <v>0.10760233918128655</v>
      </c>
      <c r="N85" s="7">
        <f t="shared" si="4"/>
        <v>0.14565217391304347</v>
      </c>
      <c r="O85" s="7">
        <f t="shared" si="5"/>
        <v>6.4444444444444446</v>
      </c>
    </row>
    <row r="86" spans="1:15" x14ac:dyDescent="0.35">
      <c r="A86">
        <v>85</v>
      </c>
      <c r="B86">
        <v>52</v>
      </c>
      <c r="C86" t="s">
        <v>12</v>
      </c>
      <c r="D86" t="s">
        <v>20</v>
      </c>
      <c r="E86" t="s">
        <v>28</v>
      </c>
      <c r="F86" t="s">
        <v>18</v>
      </c>
      <c r="G86">
        <v>3008</v>
      </c>
      <c r="H86">
        <v>269</v>
      </c>
      <c r="I86">
        <v>33</v>
      </c>
      <c r="J86" s="5">
        <v>4125</v>
      </c>
      <c r="K86" s="4">
        <v>1108</v>
      </c>
      <c r="L86" s="6">
        <v>45739</v>
      </c>
      <c r="M86" s="7">
        <f t="shared" si="3"/>
        <v>8.9428191489361708E-2</v>
      </c>
      <c r="N86" s="7">
        <f t="shared" si="4"/>
        <v>0.12267657992565056</v>
      </c>
      <c r="O86" s="7">
        <f t="shared" si="5"/>
        <v>2.7229241877256318</v>
      </c>
    </row>
    <row r="87" spans="1:15" x14ac:dyDescent="0.35">
      <c r="A87">
        <v>86</v>
      </c>
      <c r="B87">
        <v>47</v>
      </c>
      <c r="C87" t="s">
        <v>12</v>
      </c>
      <c r="D87" t="s">
        <v>13</v>
      </c>
      <c r="E87" t="s">
        <v>33</v>
      </c>
      <c r="F87" t="s">
        <v>29</v>
      </c>
      <c r="G87">
        <v>755</v>
      </c>
      <c r="H87">
        <v>246</v>
      </c>
      <c r="I87">
        <v>51</v>
      </c>
      <c r="J87" s="5">
        <v>4539</v>
      </c>
      <c r="K87" s="4">
        <v>649</v>
      </c>
      <c r="L87" s="6">
        <v>45766</v>
      </c>
      <c r="M87" s="7">
        <f t="shared" si="3"/>
        <v>0.32582781456953641</v>
      </c>
      <c r="N87" s="7">
        <f t="shared" si="4"/>
        <v>0.2073170731707317</v>
      </c>
      <c r="O87" s="7">
        <f t="shared" si="5"/>
        <v>5.9938366718027734</v>
      </c>
    </row>
    <row r="88" spans="1:15" x14ac:dyDescent="0.35">
      <c r="A88">
        <v>87</v>
      </c>
      <c r="B88">
        <v>28</v>
      </c>
      <c r="C88" t="s">
        <v>19</v>
      </c>
      <c r="D88" t="s">
        <v>13</v>
      </c>
      <c r="E88" t="s">
        <v>25</v>
      </c>
      <c r="F88" t="s">
        <v>18</v>
      </c>
      <c r="G88">
        <v>1515</v>
      </c>
      <c r="H88">
        <v>338</v>
      </c>
      <c r="I88">
        <v>69</v>
      </c>
      <c r="J88" s="5">
        <v>12075</v>
      </c>
      <c r="K88" s="4">
        <v>345</v>
      </c>
      <c r="L88" s="6">
        <v>45683</v>
      </c>
      <c r="M88" s="7">
        <f t="shared" si="3"/>
        <v>0.22310231023102312</v>
      </c>
      <c r="N88" s="7">
        <f t="shared" si="4"/>
        <v>0.20414201183431951</v>
      </c>
      <c r="O88" s="7">
        <f t="shared" si="5"/>
        <v>34</v>
      </c>
    </row>
    <row r="89" spans="1:15" x14ac:dyDescent="0.35">
      <c r="A89">
        <v>88</v>
      </c>
      <c r="B89">
        <v>30</v>
      </c>
      <c r="C89" t="s">
        <v>19</v>
      </c>
      <c r="D89" t="s">
        <v>23</v>
      </c>
      <c r="E89" t="s">
        <v>34</v>
      </c>
      <c r="F89" t="s">
        <v>15</v>
      </c>
      <c r="G89">
        <v>4658</v>
      </c>
      <c r="H89">
        <v>266</v>
      </c>
      <c r="I89">
        <v>63</v>
      </c>
      <c r="J89" s="5">
        <v>8064</v>
      </c>
      <c r="K89" s="4">
        <v>994</v>
      </c>
      <c r="L89" s="6">
        <v>45755</v>
      </c>
      <c r="M89" s="7">
        <f t="shared" si="3"/>
        <v>5.7106054100472307E-2</v>
      </c>
      <c r="N89" s="7">
        <f t="shared" si="4"/>
        <v>0.23684210526315788</v>
      </c>
      <c r="O89" s="7">
        <f t="shared" si="5"/>
        <v>7.112676056338028</v>
      </c>
    </row>
    <row r="90" spans="1:15" x14ac:dyDescent="0.35">
      <c r="A90">
        <v>89</v>
      </c>
      <c r="B90">
        <v>23</v>
      </c>
      <c r="C90" t="s">
        <v>12</v>
      </c>
      <c r="D90" t="s">
        <v>20</v>
      </c>
      <c r="E90" t="s">
        <v>34</v>
      </c>
      <c r="F90" t="s">
        <v>22</v>
      </c>
      <c r="G90">
        <v>2652</v>
      </c>
      <c r="H90">
        <v>148</v>
      </c>
      <c r="I90">
        <v>5</v>
      </c>
      <c r="J90" s="5">
        <v>955</v>
      </c>
      <c r="K90" s="4">
        <v>604</v>
      </c>
      <c r="L90" s="6">
        <v>45726</v>
      </c>
      <c r="M90" s="7">
        <f t="shared" si="3"/>
        <v>5.5806938159879339E-2</v>
      </c>
      <c r="N90" s="7">
        <f t="shared" si="4"/>
        <v>3.3783783783783786E-2</v>
      </c>
      <c r="O90" s="7">
        <f t="shared" si="5"/>
        <v>0.58112582781456956</v>
      </c>
    </row>
    <row r="91" spans="1:15" x14ac:dyDescent="0.35">
      <c r="A91">
        <v>90</v>
      </c>
      <c r="B91">
        <v>54</v>
      </c>
      <c r="C91" t="s">
        <v>12</v>
      </c>
      <c r="D91" t="s">
        <v>26</v>
      </c>
      <c r="E91" t="s">
        <v>25</v>
      </c>
      <c r="F91" t="s">
        <v>15</v>
      </c>
      <c r="G91">
        <v>2168</v>
      </c>
      <c r="H91">
        <v>407</v>
      </c>
      <c r="I91">
        <v>7</v>
      </c>
      <c r="J91" s="5">
        <v>714</v>
      </c>
      <c r="K91" s="4">
        <v>1660</v>
      </c>
      <c r="L91" s="6">
        <v>45694</v>
      </c>
      <c r="M91" s="7">
        <f t="shared" si="3"/>
        <v>0.18773062730627307</v>
      </c>
      <c r="N91" s="7">
        <f t="shared" si="4"/>
        <v>1.7199017199017199E-2</v>
      </c>
      <c r="O91" s="7">
        <f t="shared" si="5"/>
        <v>-0.5698795180722892</v>
      </c>
    </row>
    <row r="92" spans="1:15" x14ac:dyDescent="0.35">
      <c r="A92">
        <v>91</v>
      </c>
      <c r="B92">
        <v>30</v>
      </c>
      <c r="C92" t="s">
        <v>19</v>
      </c>
      <c r="D92" t="s">
        <v>20</v>
      </c>
      <c r="E92" t="s">
        <v>32</v>
      </c>
      <c r="F92" t="s">
        <v>15</v>
      </c>
      <c r="G92">
        <v>4678</v>
      </c>
      <c r="H92">
        <v>194</v>
      </c>
      <c r="I92">
        <v>77</v>
      </c>
      <c r="J92" s="5">
        <v>10010</v>
      </c>
      <c r="K92" s="4">
        <v>200</v>
      </c>
      <c r="L92" s="6">
        <v>45719</v>
      </c>
      <c r="M92" s="7">
        <f t="shared" si="3"/>
        <v>4.1470713980333473E-2</v>
      </c>
      <c r="N92" s="7">
        <f t="shared" si="4"/>
        <v>0.39690721649484534</v>
      </c>
      <c r="O92" s="7">
        <f t="shared" si="5"/>
        <v>49.05</v>
      </c>
    </row>
    <row r="93" spans="1:15" x14ac:dyDescent="0.35">
      <c r="A93">
        <v>92</v>
      </c>
      <c r="B93">
        <v>51</v>
      </c>
      <c r="C93" t="s">
        <v>12</v>
      </c>
      <c r="D93" t="s">
        <v>23</v>
      </c>
      <c r="E93" t="s">
        <v>28</v>
      </c>
      <c r="F93" t="s">
        <v>18</v>
      </c>
      <c r="G93">
        <v>2323</v>
      </c>
      <c r="H93">
        <v>83</v>
      </c>
      <c r="I93">
        <v>76</v>
      </c>
      <c r="J93" s="5">
        <v>7980</v>
      </c>
      <c r="K93" s="4">
        <v>1774</v>
      </c>
      <c r="L93" s="6">
        <v>45775</v>
      </c>
      <c r="M93" s="7">
        <f t="shared" si="3"/>
        <v>3.5729659922513993E-2</v>
      </c>
      <c r="N93" s="7">
        <f t="shared" si="4"/>
        <v>0.91566265060240959</v>
      </c>
      <c r="O93" s="7">
        <f t="shared" si="5"/>
        <v>3.4983089064261557</v>
      </c>
    </row>
    <row r="94" spans="1:15" x14ac:dyDescent="0.35">
      <c r="A94">
        <v>93</v>
      </c>
      <c r="B94">
        <v>22</v>
      </c>
      <c r="C94" t="s">
        <v>19</v>
      </c>
      <c r="D94" t="s">
        <v>27</v>
      </c>
      <c r="E94" t="s">
        <v>30</v>
      </c>
      <c r="F94" t="s">
        <v>29</v>
      </c>
      <c r="G94">
        <v>1270</v>
      </c>
      <c r="H94">
        <v>428</v>
      </c>
      <c r="I94">
        <v>54</v>
      </c>
      <c r="J94" s="5">
        <v>7776</v>
      </c>
      <c r="K94" s="4">
        <v>467</v>
      </c>
      <c r="L94" s="6">
        <v>45674</v>
      </c>
      <c r="M94" s="7">
        <f t="shared" si="3"/>
        <v>0.33700787401574805</v>
      </c>
      <c r="N94" s="7">
        <f t="shared" si="4"/>
        <v>0.12616822429906541</v>
      </c>
      <c r="O94" s="7">
        <f t="shared" si="5"/>
        <v>15.650963597430406</v>
      </c>
    </row>
    <row r="95" spans="1:15" x14ac:dyDescent="0.35">
      <c r="A95">
        <v>94</v>
      </c>
      <c r="B95">
        <v>38</v>
      </c>
      <c r="C95" t="s">
        <v>19</v>
      </c>
      <c r="D95" t="s">
        <v>16</v>
      </c>
      <c r="E95" t="s">
        <v>33</v>
      </c>
      <c r="F95" t="s">
        <v>18</v>
      </c>
      <c r="G95">
        <v>3314</v>
      </c>
      <c r="H95">
        <v>352</v>
      </c>
      <c r="I95">
        <v>27</v>
      </c>
      <c r="J95" s="5">
        <v>4860</v>
      </c>
      <c r="K95" s="4">
        <v>1430</v>
      </c>
      <c r="L95" s="6">
        <v>45732</v>
      </c>
      <c r="M95" s="7">
        <f t="shared" si="3"/>
        <v>0.10621605310802655</v>
      </c>
      <c r="N95" s="7">
        <f t="shared" si="4"/>
        <v>7.6704545454545456E-2</v>
      </c>
      <c r="O95" s="7">
        <f t="shared" si="5"/>
        <v>2.3986013986013988</v>
      </c>
    </row>
    <row r="96" spans="1:15" x14ac:dyDescent="0.35">
      <c r="A96">
        <v>95</v>
      </c>
      <c r="B96">
        <v>51</v>
      </c>
      <c r="C96" t="s">
        <v>19</v>
      </c>
      <c r="D96" t="s">
        <v>13</v>
      </c>
      <c r="E96" t="s">
        <v>33</v>
      </c>
      <c r="F96" t="s">
        <v>22</v>
      </c>
      <c r="G96">
        <v>2650</v>
      </c>
      <c r="H96">
        <v>471</v>
      </c>
      <c r="I96">
        <v>68</v>
      </c>
      <c r="J96" s="5">
        <v>12036</v>
      </c>
      <c r="K96" s="4">
        <v>963</v>
      </c>
      <c r="L96" s="6">
        <v>45687</v>
      </c>
      <c r="M96" s="7">
        <f t="shared" si="3"/>
        <v>0.17773584905660378</v>
      </c>
      <c r="N96" s="7">
        <f t="shared" si="4"/>
        <v>0.14437367303609341</v>
      </c>
      <c r="O96" s="7">
        <f t="shared" si="5"/>
        <v>11.498442367601246</v>
      </c>
    </row>
    <row r="97" spans="1:15" x14ac:dyDescent="0.35">
      <c r="A97">
        <v>96</v>
      </c>
      <c r="B97">
        <v>50</v>
      </c>
      <c r="C97" t="s">
        <v>12</v>
      </c>
      <c r="D97" t="s">
        <v>13</v>
      </c>
      <c r="E97" t="s">
        <v>17</v>
      </c>
      <c r="F97" t="s">
        <v>29</v>
      </c>
      <c r="G97">
        <v>1858</v>
      </c>
      <c r="H97">
        <v>396</v>
      </c>
      <c r="I97">
        <v>55</v>
      </c>
      <c r="J97" s="5">
        <v>9735</v>
      </c>
      <c r="K97" s="4">
        <v>646</v>
      </c>
      <c r="L97" s="6">
        <v>45736</v>
      </c>
      <c r="M97" s="7">
        <f t="shared" si="3"/>
        <v>0.2131324004305705</v>
      </c>
      <c r="N97" s="7">
        <f t="shared" si="4"/>
        <v>0.1388888888888889</v>
      </c>
      <c r="O97" s="7">
        <f t="shared" si="5"/>
        <v>14.069659442724458</v>
      </c>
    </row>
    <row r="98" spans="1:15" x14ac:dyDescent="0.35">
      <c r="A98">
        <v>97</v>
      </c>
      <c r="B98">
        <v>27</v>
      </c>
      <c r="C98" t="s">
        <v>19</v>
      </c>
      <c r="D98" t="s">
        <v>26</v>
      </c>
      <c r="E98" t="s">
        <v>17</v>
      </c>
      <c r="F98" t="s">
        <v>29</v>
      </c>
      <c r="G98">
        <v>3677</v>
      </c>
      <c r="H98">
        <v>100</v>
      </c>
      <c r="I98">
        <v>9</v>
      </c>
      <c r="J98" s="5">
        <v>747</v>
      </c>
      <c r="K98" s="4">
        <v>996</v>
      </c>
      <c r="L98" s="6">
        <v>45674</v>
      </c>
      <c r="M98" s="7">
        <f t="shared" si="3"/>
        <v>2.7196083763937992E-2</v>
      </c>
      <c r="N98" s="7">
        <f t="shared" si="4"/>
        <v>0.09</v>
      </c>
      <c r="O98" s="7">
        <f t="shared" si="5"/>
        <v>-0.25</v>
      </c>
    </row>
    <row r="99" spans="1:15" x14ac:dyDescent="0.35">
      <c r="A99">
        <v>98</v>
      </c>
      <c r="B99">
        <v>19</v>
      </c>
      <c r="C99" t="s">
        <v>12</v>
      </c>
      <c r="D99" t="s">
        <v>16</v>
      </c>
      <c r="E99" t="s">
        <v>24</v>
      </c>
      <c r="F99" t="s">
        <v>18</v>
      </c>
      <c r="G99">
        <v>3332</v>
      </c>
      <c r="H99">
        <v>389</v>
      </c>
      <c r="I99">
        <v>73</v>
      </c>
      <c r="J99" s="5">
        <v>6205</v>
      </c>
      <c r="K99" s="4">
        <v>745</v>
      </c>
      <c r="L99" s="6">
        <v>45768</v>
      </c>
      <c r="M99" s="7">
        <f t="shared" si="3"/>
        <v>0.11674669867947179</v>
      </c>
      <c r="N99" s="7">
        <f t="shared" si="4"/>
        <v>0.18766066838046272</v>
      </c>
      <c r="O99" s="7">
        <f t="shared" si="5"/>
        <v>7.3288590604026842</v>
      </c>
    </row>
    <row r="100" spans="1:15" x14ac:dyDescent="0.35">
      <c r="A100">
        <v>99</v>
      </c>
      <c r="B100">
        <v>28</v>
      </c>
      <c r="C100" t="s">
        <v>12</v>
      </c>
      <c r="D100" t="s">
        <v>16</v>
      </c>
      <c r="E100" t="s">
        <v>28</v>
      </c>
      <c r="F100" t="s">
        <v>18</v>
      </c>
      <c r="G100">
        <v>1260</v>
      </c>
      <c r="H100">
        <v>200</v>
      </c>
      <c r="I100">
        <v>59</v>
      </c>
      <c r="J100" s="5">
        <v>10266</v>
      </c>
      <c r="K100" s="4">
        <v>1047</v>
      </c>
      <c r="L100" s="6">
        <v>45673</v>
      </c>
      <c r="M100" s="7">
        <f t="shared" si="3"/>
        <v>0.15873015873015872</v>
      </c>
      <c r="N100" s="7">
        <f t="shared" si="4"/>
        <v>0.29499999999999998</v>
      </c>
      <c r="O100" s="7">
        <f t="shared" si="5"/>
        <v>8.8051575931232087</v>
      </c>
    </row>
    <row r="101" spans="1:15" x14ac:dyDescent="0.35">
      <c r="A101">
        <v>100</v>
      </c>
      <c r="B101">
        <v>20</v>
      </c>
      <c r="C101" t="s">
        <v>12</v>
      </c>
      <c r="D101" t="s">
        <v>13</v>
      </c>
      <c r="E101" t="s">
        <v>24</v>
      </c>
      <c r="F101" t="s">
        <v>22</v>
      </c>
      <c r="G101">
        <v>1399</v>
      </c>
      <c r="H101">
        <v>409</v>
      </c>
      <c r="I101">
        <v>8</v>
      </c>
      <c r="J101" s="5">
        <v>832</v>
      </c>
      <c r="K101" s="4">
        <v>1919</v>
      </c>
      <c r="L101" s="6">
        <v>45684</v>
      </c>
      <c r="M101" s="7">
        <f t="shared" si="3"/>
        <v>0.29235167977126519</v>
      </c>
      <c r="N101" s="7">
        <f t="shared" si="4"/>
        <v>1.9559902200488997E-2</v>
      </c>
      <c r="O101" s="7">
        <f t="shared" si="5"/>
        <v>-0.56644085461177696</v>
      </c>
    </row>
    <row r="102" spans="1:15" x14ac:dyDescent="0.35">
      <c r="A102">
        <v>101</v>
      </c>
      <c r="B102">
        <v>36</v>
      </c>
      <c r="C102" t="s">
        <v>19</v>
      </c>
      <c r="D102" t="s">
        <v>27</v>
      </c>
      <c r="E102" t="s">
        <v>25</v>
      </c>
      <c r="F102" t="s">
        <v>18</v>
      </c>
      <c r="G102">
        <v>4688</v>
      </c>
      <c r="H102">
        <v>209</v>
      </c>
      <c r="I102">
        <v>54</v>
      </c>
      <c r="J102" s="5">
        <v>7020</v>
      </c>
      <c r="K102" s="4">
        <v>260</v>
      </c>
      <c r="L102" s="6">
        <v>45662</v>
      </c>
      <c r="M102" s="7">
        <f t="shared" si="3"/>
        <v>4.4581911262798632E-2</v>
      </c>
      <c r="N102" s="7">
        <f t="shared" si="4"/>
        <v>0.25837320574162681</v>
      </c>
      <c r="O102" s="7">
        <f t="shared" si="5"/>
        <v>26</v>
      </c>
    </row>
    <row r="103" spans="1:15" x14ac:dyDescent="0.35">
      <c r="A103">
        <v>102</v>
      </c>
      <c r="B103">
        <v>22</v>
      </c>
      <c r="C103" t="s">
        <v>19</v>
      </c>
      <c r="D103" t="s">
        <v>26</v>
      </c>
      <c r="E103" t="s">
        <v>30</v>
      </c>
      <c r="F103" t="s">
        <v>31</v>
      </c>
      <c r="G103">
        <v>4400</v>
      </c>
      <c r="H103">
        <v>71</v>
      </c>
      <c r="I103">
        <v>25</v>
      </c>
      <c r="J103" s="5">
        <v>2000</v>
      </c>
      <c r="K103" s="4">
        <v>1037</v>
      </c>
      <c r="L103" s="6">
        <v>45669</v>
      </c>
      <c r="M103" s="7">
        <f t="shared" si="3"/>
        <v>1.6136363636363636E-2</v>
      </c>
      <c r="N103" s="7">
        <f t="shared" si="4"/>
        <v>0.352112676056338</v>
      </c>
      <c r="O103" s="7">
        <f t="shared" si="5"/>
        <v>0.92864030858244939</v>
      </c>
    </row>
    <row r="104" spans="1:15" x14ac:dyDescent="0.35">
      <c r="A104">
        <v>103</v>
      </c>
      <c r="B104">
        <v>44</v>
      </c>
      <c r="C104" t="s">
        <v>12</v>
      </c>
      <c r="D104" t="s">
        <v>16</v>
      </c>
      <c r="E104" t="s">
        <v>30</v>
      </c>
      <c r="F104" t="s">
        <v>29</v>
      </c>
      <c r="G104">
        <v>2893</v>
      </c>
      <c r="H104">
        <v>95</v>
      </c>
      <c r="I104">
        <v>38</v>
      </c>
      <c r="J104" s="5">
        <v>6422</v>
      </c>
      <c r="K104" s="4">
        <v>1301</v>
      </c>
      <c r="L104" s="6">
        <v>45683</v>
      </c>
      <c r="M104" s="7">
        <f t="shared" si="3"/>
        <v>3.2837884548911164E-2</v>
      </c>
      <c r="N104" s="7">
        <f t="shared" si="4"/>
        <v>0.4</v>
      </c>
      <c r="O104" s="7">
        <f t="shared" si="5"/>
        <v>3.9362029208301306</v>
      </c>
    </row>
    <row r="105" spans="1:15" x14ac:dyDescent="0.35">
      <c r="A105">
        <v>104</v>
      </c>
      <c r="B105">
        <v>34</v>
      </c>
      <c r="C105" t="s">
        <v>19</v>
      </c>
      <c r="D105" t="s">
        <v>16</v>
      </c>
      <c r="E105" t="s">
        <v>21</v>
      </c>
      <c r="F105" t="s">
        <v>31</v>
      </c>
      <c r="G105">
        <v>2796</v>
      </c>
      <c r="H105">
        <v>96</v>
      </c>
      <c r="I105">
        <v>60</v>
      </c>
      <c r="J105" s="5">
        <v>11160</v>
      </c>
      <c r="K105" s="4">
        <v>549</v>
      </c>
      <c r="L105" s="6">
        <v>45693</v>
      </c>
      <c r="M105" s="7">
        <f t="shared" si="3"/>
        <v>3.4334763948497854E-2</v>
      </c>
      <c r="N105" s="7">
        <f t="shared" si="4"/>
        <v>0.625</v>
      </c>
      <c r="O105" s="7">
        <f t="shared" si="5"/>
        <v>19.327868852459016</v>
      </c>
    </row>
    <row r="106" spans="1:15" x14ac:dyDescent="0.35">
      <c r="A106">
        <v>105</v>
      </c>
      <c r="B106">
        <v>39</v>
      </c>
      <c r="C106" t="s">
        <v>12</v>
      </c>
      <c r="D106" t="s">
        <v>27</v>
      </c>
      <c r="E106" t="s">
        <v>21</v>
      </c>
      <c r="F106" t="s">
        <v>31</v>
      </c>
      <c r="G106">
        <v>2555</v>
      </c>
      <c r="H106">
        <v>162</v>
      </c>
      <c r="I106">
        <v>56</v>
      </c>
      <c r="J106" s="5">
        <v>7056</v>
      </c>
      <c r="K106" s="4">
        <v>918</v>
      </c>
      <c r="L106" s="6">
        <v>45685</v>
      </c>
      <c r="M106" s="7">
        <f t="shared" si="3"/>
        <v>6.3405088062622308E-2</v>
      </c>
      <c r="N106" s="7">
        <f t="shared" si="4"/>
        <v>0.34567901234567899</v>
      </c>
      <c r="O106" s="7">
        <f t="shared" si="5"/>
        <v>6.6862745098039218</v>
      </c>
    </row>
    <row r="107" spans="1:15" x14ac:dyDescent="0.35">
      <c r="A107">
        <v>106</v>
      </c>
      <c r="B107">
        <v>31</v>
      </c>
      <c r="C107" t="s">
        <v>12</v>
      </c>
      <c r="D107" t="s">
        <v>23</v>
      </c>
      <c r="E107" t="s">
        <v>17</v>
      </c>
      <c r="F107" t="s">
        <v>15</v>
      </c>
      <c r="G107">
        <v>2625</v>
      </c>
      <c r="H107">
        <v>265</v>
      </c>
      <c r="I107">
        <v>6</v>
      </c>
      <c r="J107" s="5">
        <v>630</v>
      </c>
      <c r="K107" s="4">
        <v>564</v>
      </c>
      <c r="L107" s="6">
        <v>45772</v>
      </c>
      <c r="M107" s="7">
        <f t="shared" si="3"/>
        <v>0.10095238095238095</v>
      </c>
      <c r="N107" s="7">
        <f t="shared" si="4"/>
        <v>2.2641509433962263E-2</v>
      </c>
      <c r="O107" s="7">
        <f t="shared" si="5"/>
        <v>0.11702127659574468</v>
      </c>
    </row>
    <row r="108" spans="1:15" x14ac:dyDescent="0.35">
      <c r="A108">
        <v>107</v>
      </c>
      <c r="B108">
        <v>52</v>
      </c>
      <c r="C108" t="s">
        <v>12</v>
      </c>
      <c r="D108" t="s">
        <v>16</v>
      </c>
      <c r="E108" t="s">
        <v>24</v>
      </c>
      <c r="F108" t="s">
        <v>15</v>
      </c>
      <c r="G108">
        <v>2146</v>
      </c>
      <c r="H108">
        <v>456</v>
      </c>
      <c r="I108">
        <v>22</v>
      </c>
      <c r="J108" s="5">
        <v>2574</v>
      </c>
      <c r="K108" s="4">
        <v>1729</v>
      </c>
      <c r="L108" s="6">
        <v>45672</v>
      </c>
      <c r="M108" s="7">
        <f t="shared" si="3"/>
        <v>0.21248835041938491</v>
      </c>
      <c r="N108" s="7">
        <f t="shared" si="4"/>
        <v>4.8245614035087717E-2</v>
      </c>
      <c r="O108" s="7">
        <f t="shared" si="5"/>
        <v>0.48872180451127817</v>
      </c>
    </row>
    <row r="109" spans="1:15" x14ac:dyDescent="0.35">
      <c r="A109">
        <v>108</v>
      </c>
      <c r="B109">
        <v>39</v>
      </c>
      <c r="C109" t="s">
        <v>19</v>
      </c>
      <c r="D109" t="s">
        <v>16</v>
      </c>
      <c r="E109" t="s">
        <v>21</v>
      </c>
      <c r="F109" t="s">
        <v>15</v>
      </c>
      <c r="G109">
        <v>2575</v>
      </c>
      <c r="H109">
        <v>251</v>
      </c>
      <c r="I109">
        <v>43</v>
      </c>
      <c r="J109" s="5">
        <v>7826</v>
      </c>
      <c r="K109" s="4">
        <v>1496</v>
      </c>
      <c r="L109" s="6">
        <v>45701</v>
      </c>
      <c r="M109" s="7">
        <f t="shared" si="3"/>
        <v>9.7475728155339808E-2</v>
      </c>
      <c r="N109" s="7">
        <f t="shared" si="4"/>
        <v>0.17131474103585656</v>
      </c>
      <c r="O109" s="7">
        <f t="shared" si="5"/>
        <v>4.2312834224598932</v>
      </c>
    </row>
    <row r="110" spans="1:15" x14ac:dyDescent="0.35">
      <c r="A110">
        <v>109</v>
      </c>
      <c r="B110">
        <v>20</v>
      </c>
      <c r="C110" t="s">
        <v>12</v>
      </c>
      <c r="D110" t="s">
        <v>27</v>
      </c>
      <c r="E110" t="s">
        <v>30</v>
      </c>
      <c r="F110" t="s">
        <v>31</v>
      </c>
      <c r="G110">
        <v>4096</v>
      </c>
      <c r="H110">
        <v>261</v>
      </c>
      <c r="I110">
        <v>29</v>
      </c>
      <c r="J110" s="5">
        <v>2581</v>
      </c>
      <c r="K110" s="4">
        <v>1803</v>
      </c>
      <c r="L110" s="6">
        <v>45766</v>
      </c>
      <c r="M110" s="7">
        <f t="shared" si="3"/>
        <v>6.3720703125E-2</v>
      </c>
      <c r="N110" s="7">
        <f t="shared" si="4"/>
        <v>0.1111111111111111</v>
      </c>
      <c r="O110" s="7">
        <f t="shared" si="5"/>
        <v>0.4315030504714365</v>
      </c>
    </row>
    <row r="111" spans="1:15" x14ac:dyDescent="0.35">
      <c r="A111">
        <v>110</v>
      </c>
      <c r="B111">
        <v>36</v>
      </c>
      <c r="C111" t="s">
        <v>12</v>
      </c>
      <c r="D111" t="s">
        <v>13</v>
      </c>
      <c r="E111" t="s">
        <v>21</v>
      </c>
      <c r="F111" t="s">
        <v>31</v>
      </c>
      <c r="G111">
        <v>1669</v>
      </c>
      <c r="H111">
        <v>160</v>
      </c>
      <c r="I111">
        <v>38</v>
      </c>
      <c r="J111" s="5">
        <v>3306</v>
      </c>
      <c r="K111" s="4">
        <v>822</v>
      </c>
      <c r="L111" s="6">
        <v>45698</v>
      </c>
      <c r="M111" s="7">
        <f t="shared" si="3"/>
        <v>9.5865787896944277E-2</v>
      </c>
      <c r="N111" s="7">
        <f t="shared" si="4"/>
        <v>0.23749999999999999</v>
      </c>
      <c r="O111" s="7">
        <f t="shared" si="5"/>
        <v>3.0218978102189782</v>
      </c>
    </row>
    <row r="112" spans="1:15" x14ac:dyDescent="0.35">
      <c r="A112">
        <v>111</v>
      </c>
      <c r="B112">
        <v>51</v>
      </c>
      <c r="C112" t="s">
        <v>12</v>
      </c>
      <c r="D112" t="s">
        <v>13</v>
      </c>
      <c r="E112" t="s">
        <v>17</v>
      </c>
      <c r="F112" t="s">
        <v>22</v>
      </c>
      <c r="G112">
        <v>3160</v>
      </c>
      <c r="H112">
        <v>55</v>
      </c>
      <c r="I112">
        <v>56</v>
      </c>
      <c r="J112" s="5">
        <v>8008</v>
      </c>
      <c r="K112" s="4">
        <v>1505</v>
      </c>
      <c r="L112" s="6">
        <v>45716</v>
      </c>
      <c r="M112" s="7">
        <f t="shared" si="3"/>
        <v>1.740506329113924E-2</v>
      </c>
      <c r="N112" s="7">
        <f t="shared" si="4"/>
        <v>1.0181818181818181</v>
      </c>
      <c r="O112" s="7">
        <f t="shared" si="5"/>
        <v>4.3209302325581396</v>
      </c>
    </row>
    <row r="113" spans="1:15" x14ac:dyDescent="0.35">
      <c r="A113">
        <v>112</v>
      </c>
      <c r="B113">
        <v>38</v>
      </c>
      <c r="C113" t="s">
        <v>19</v>
      </c>
      <c r="D113" t="s">
        <v>20</v>
      </c>
      <c r="E113" t="s">
        <v>28</v>
      </c>
      <c r="F113" t="s">
        <v>29</v>
      </c>
      <c r="G113">
        <v>1376</v>
      </c>
      <c r="H113">
        <v>278</v>
      </c>
      <c r="I113">
        <v>37</v>
      </c>
      <c r="J113" s="5">
        <v>3737</v>
      </c>
      <c r="K113" s="4">
        <v>1660</v>
      </c>
      <c r="L113" s="6">
        <v>45727</v>
      </c>
      <c r="M113" s="7">
        <f t="shared" si="3"/>
        <v>0.20203488372093023</v>
      </c>
      <c r="N113" s="7">
        <f t="shared" si="4"/>
        <v>0.13309352517985612</v>
      </c>
      <c r="O113" s="7">
        <f t="shared" si="5"/>
        <v>1.2512048192771084</v>
      </c>
    </row>
    <row r="114" spans="1:15" x14ac:dyDescent="0.35">
      <c r="A114">
        <v>113</v>
      </c>
      <c r="B114">
        <v>47</v>
      </c>
      <c r="C114" t="s">
        <v>12</v>
      </c>
      <c r="D114" t="s">
        <v>16</v>
      </c>
      <c r="E114" t="s">
        <v>17</v>
      </c>
      <c r="F114" t="s">
        <v>18</v>
      </c>
      <c r="G114">
        <v>3063</v>
      </c>
      <c r="H114">
        <v>399</v>
      </c>
      <c r="I114">
        <v>79</v>
      </c>
      <c r="J114" s="5">
        <v>11139</v>
      </c>
      <c r="K114" s="4">
        <v>1669</v>
      </c>
      <c r="L114" s="6">
        <v>45712</v>
      </c>
      <c r="M114" s="7">
        <f t="shared" si="3"/>
        <v>0.13026444662095985</v>
      </c>
      <c r="N114" s="7">
        <f t="shared" si="4"/>
        <v>0.19799498746867167</v>
      </c>
      <c r="O114" s="7">
        <f t="shared" si="5"/>
        <v>5.6740563211503892</v>
      </c>
    </row>
    <row r="115" spans="1:15" x14ac:dyDescent="0.35">
      <c r="A115">
        <v>114</v>
      </c>
      <c r="B115">
        <v>54</v>
      </c>
      <c r="C115" t="s">
        <v>12</v>
      </c>
      <c r="D115" t="s">
        <v>27</v>
      </c>
      <c r="E115" t="s">
        <v>32</v>
      </c>
      <c r="F115" t="s">
        <v>22</v>
      </c>
      <c r="G115">
        <v>1660</v>
      </c>
      <c r="H115">
        <v>296</v>
      </c>
      <c r="I115">
        <v>7</v>
      </c>
      <c r="J115" s="5">
        <v>770</v>
      </c>
      <c r="K115" s="4">
        <v>442</v>
      </c>
      <c r="L115" s="6">
        <v>45681</v>
      </c>
      <c r="M115" s="7">
        <f t="shared" si="3"/>
        <v>0.1783132530120482</v>
      </c>
      <c r="N115" s="7">
        <f t="shared" si="4"/>
        <v>2.364864864864865E-2</v>
      </c>
      <c r="O115" s="7">
        <f t="shared" si="5"/>
        <v>0.74208144796380093</v>
      </c>
    </row>
    <row r="116" spans="1:15" x14ac:dyDescent="0.35">
      <c r="A116">
        <v>115</v>
      </c>
      <c r="B116">
        <v>23</v>
      </c>
      <c r="C116" t="s">
        <v>12</v>
      </c>
      <c r="D116" t="s">
        <v>27</v>
      </c>
      <c r="E116" t="s">
        <v>28</v>
      </c>
      <c r="F116" t="s">
        <v>29</v>
      </c>
      <c r="G116">
        <v>505</v>
      </c>
      <c r="H116">
        <v>371</v>
      </c>
      <c r="I116">
        <v>79</v>
      </c>
      <c r="J116" s="5">
        <v>12482</v>
      </c>
      <c r="K116" s="4">
        <v>203</v>
      </c>
      <c r="L116" s="6">
        <v>45770</v>
      </c>
      <c r="M116" s="7">
        <f t="shared" si="3"/>
        <v>0.73465346534653464</v>
      </c>
      <c r="N116" s="7">
        <f t="shared" si="4"/>
        <v>0.21293800539083557</v>
      </c>
      <c r="O116" s="7">
        <f t="shared" si="5"/>
        <v>60.487684729064043</v>
      </c>
    </row>
    <row r="117" spans="1:15" x14ac:dyDescent="0.35">
      <c r="A117">
        <v>116</v>
      </c>
      <c r="B117">
        <v>32</v>
      </c>
      <c r="C117" t="s">
        <v>12</v>
      </c>
      <c r="D117" t="s">
        <v>27</v>
      </c>
      <c r="E117" t="s">
        <v>17</v>
      </c>
      <c r="F117" t="s">
        <v>29</v>
      </c>
      <c r="G117">
        <v>3051</v>
      </c>
      <c r="H117">
        <v>484</v>
      </c>
      <c r="I117">
        <v>66</v>
      </c>
      <c r="J117" s="5">
        <v>9570</v>
      </c>
      <c r="K117" s="4">
        <v>1664</v>
      </c>
      <c r="L117" s="6">
        <v>45683</v>
      </c>
      <c r="M117" s="7">
        <f t="shared" si="3"/>
        <v>0.15863651261881351</v>
      </c>
      <c r="N117" s="7">
        <f t="shared" si="4"/>
        <v>0.13636363636363635</v>
      </c>
      <c r="O117" s="7">
        <f t="shared" si="5"/>
        <v>4.7512019230769234</v>
      </c>
    </row>
    <row r="118" spans="1:15" x14ac:dyDescent="0.35">
      <c r="A118">
        <v>117</v>
      </c>
      <c r="B118">
        <v>37</v>
      </c>
      <c r="C118" t="s">
        <v>12</v>
      </c>
      <c r="D118" t="s">
        <v>27</v>
      </c>
      <c r="E118" t="s">
        <v>34</v>
      </c>
      <c r="F118" t="s">
        <v>18</v>
      </c>
      <c r="G118">
        <v>1641</v>
      </c>
      <c r="H118">
        <v>373</v>
      </c>
      <c r="I118">
        <v>23</v>
      </c>
      <c r="J118" s="5">
        <v>4048</v>
      </c>
      <c r="K118" s="4">
        <v>923</v>
      </c>
      <c r="L118" s="6">
        <v>45669</v>
      </c>
      <c r="M118" s="7">
        <f t="shared" si="3"/>
        <v>0.22730042656916513</v>
      </c>
      <c r="N118" s="7">
        <f t="shared" si="4"/>
        <v>6.1662198391420911E-2</v>
      </c>
      <c r="O118" s="7">
        <f t="shared" si="5"/>
        <v>3.3856988082340194</v>
      </c>
    </row>
    <row r="119" spans="1:15" x14ac:dyDescent="0.35">
      <c r="A119">
        <v>118</v>
      </c>
      <c r="B119">
        <v>54</v>
      </c>
      <c r="C119" t="s">
        <v>19</v>
      </c>
      <c r="D119" t="s">
        <v>23</v>
      </c>
      <c r="E119" t="s">
        <v>32</v>
      </c>
      <c r="F119" t="s">
        <v>15</v>
      </c>
      <c r="G119">
        <v>2548</v>
      </c>
      <c r="H119">
        <v>139</v>
      </c>
      <c r="I119">
        <v>18</v>
      </c>
      <c r="J119" s="5">
        <v>2106</v>
      </c>
      <c r="K119" s="4">
        <v>519</v>
      </c>
      <c r="L119" s="6">
        <v>45734</v>
      </c>
      <c r="M119" s="7">
        <f t="shared" si="3"/>
        <v>5.4552590266875985E-2</v>
      </c>
      <c r="N119" s="7">
        <f t="shared" si="4"/>
        <v>0.12949640287769784</v>
      </c>
      <c r="O119" s="7">
        <f t="shared" si="5"/>
        <v>3.0578034682080926</v>
      </c>
    </row>
    <row r="120" spans="1:15" x14ac:dyDescent="0.35">
      <c r="A120">
        <v>119</v>
      </c>
      <c r="B120">
        <v>27</v>
      </c>
      <c r="C120" t="s">
        <v>12</v>
      </c>
      <c r="D120" t="s">
        <v>26</v>
      </c>
      <c r="E120" t="s">
        <v>25</v>
      </c>
      <c r="F120" t="s">
        <v>15</v>
      </c>
      <c r="G120">
        <v>2526</v>
      </c>
      <c r="H120">
        <v>308</v>
      </c>
      <c r="I120">
        <v>37</v>
      </c>
      <c r="J120" s="5">
        <v>4773</v>
      </c>
      <c r="K120" s="4">
        <v>1101</v>
      </c>
      <c r="L120" s="6">
        <v>45680</v>
      </c>
      <c r="M120" s="7">
        <f t="shared" si="3"/>
        <v>0.12193190815518606</v>
      </c>
      <c r="N120" s="7">
        <f t="shared" si="4"/>
        <v>0.12012987012987013</v>
      </c>
      <c r="O120" s="7">
        <f t="shared" si="5"/>
        <v>3.3351498637602179</v>
      </c>
    </row>
    <row r="121" spans="1:15" x14ac:dyDescent="0.35">
      <c r="A121">
        <v>120</v>
      </c>
      <c r="B121">
        <v>19</v>
      </c>
      <c r="C121" t="s">
        <v>19</v>
      </c>
      <c r="D121" t="s">
        <v>26</v>
      </c>
      <c r="E121" t="s">
        <v>32</v>
      </c>
      <c r="F121" t="s">
        <v>18</v>
      </c>
      <c r="G121">
        <v>2173</v>
      </c>
      <c r="H121">
        <v>221</v>
      </c>
      <c r="I121">
        <v>6</v>
      </c>
      <c r="J121" s="5">
        <v>714</v>
      </c>
      <c r="K121" s="4">
        <v>212</v>
      </c>
      <c r="L121" s="6">
        <v>45722</v>
      </c>
      <c r="M121" s="7">
        <f t="shared" si="3"/>
        <v>0.10170271514035895</v>
      </c>
      <c r="N121" s="7">
        <f t="shared" si="4"/>
        <v>2.7149321266968326E-2</v>
      </c>
      <c r="O121" s="7">
        <f t="shared" si="5"/>
        <v>2.3679245283018866</v>
      </c>
    </row>
    <row r="122" spans="1:15" x14ac:dyDescent="0.35">
      <c r="A122">
        <v>121</v>
      </c>
      <c r="B122">
        <v>28</v>
      </c>
      <c r="C122" t="s">
        <v>19</v>
      </c>
      <c r="D122" t="s">
        <v>27</v>
      </c>
      <c r="E122" t="s">
        <v>17</v>
      </c>
      <c r="F122" t="s">
        <v>18</v>
      </c>
      <c r="G122">
        <v>1842</v>
      </c>
      <c r="H122">
        <v>150</v>
      </c>
      <c r="I122">
        <v>77</v>
      </c>
      <c r="J122" s="5">
        <v>6776</v>
      </c>
      <c r="K122" s="4">
        <v>984</v>
      </c>
      <c r="L122" s="6">
        <v>45695</v>
      </c>
      <c r="M122" s="7">
        <f t="shared" si="3"/>
        <v>8.143322475570032E-2</v>
      </c>
      <c r="N122" s="7">
        <f t="shared" si="4"/>
        <v>0.51333333333333331</v>
      </c>
      <c r="O122" s="7">
        <f t="shared" si="5"/>
        <v>5.8861788617886175</v>
      </c>
    </row>
    <row r="123" spans="1:15" x14ac:dyDescent="0.35">
      <c r="A123">
        <v>122</v>
      </c>
      <c r="B123">
        <v>31</v>
      </c>
      <c r="C123" t="s">
        <v>12</v>
      </c>
      <c r="D123" t="s">
        <v>20</v>
      </c>
      <c r="E123" t="s">
        <v>25</v>
      </c>
      <c r="F123" t="s">
        <v>29</v>
      </c>
      <c r="G123">
        <v>2538</v>
      </c>
      <c r="H123">
        <v>468</v>
      </c>
      <c r="I123">
        <v>53</v>
      </c>
      <c r="J123" s="5">
        <v>7473</v>
      </c>
      <c r="K123" s="4">
        <v>1804</v>
      </c>
      <c r="L123" s="6">
        <v>45777</v>
      </c>
      <c r="M123" s="7">
        <f t="shared" si="3"/>
        <v>0.18439716312056736</v>
      </c>
      <c r="N123" s="7">
        <f t="shared" si="4"/>
        <v>0.11324786324786325</v>
      </c>
      <c r="O123" s="7">
        <f t="shared" si="5"/>
        <v>3.1424611973392462</v>
      </c>
    </row>
    <row r="124" spans="1:15" x14ac:dyDescent="0.35">
      <c r="A124">
        <v>123</v>
      </c>
      <c r="B124">
        <v>52</v>
      </c>
      <c r="C124" t="s">
        <v>12</v>
      </c>
      <c r="D124" t="s">
        <v>23</v>
      </c>
      <c r="E124" t="s">
        <v>34</v>
      </c>
      <c r="F124" t="s">
        <v>29</v>
      </c>
      <c r="G124">
        <v>4030</v>
      </c>
      <c r="H124">
        <v>186</v>
      </c>
      <c r="I124">
        <v>38</v>
      </c>
      <c r="J124" s="5">
        <v>6764</v>
      </c>
      <c r="K124" s="4">
        <v>787</v>
      </c>
      <c r="L124" s="6">
        <v>45697</v>
      </c>
      <c r="M124" s="7">
        <f t="shared" si="3"/>
        <v>4.6153846153846156E-2</v>
      </c>
      <c r="N124" s="7">
        <f t="shared" si="4"/>
        <v>0.20430107526881722</v>
      </c>
      <c r="O124" s="7">
        <f t="shared" si="5"/>
        <v>7.594663278271919</v>
      </c>
    </row>
    <row r="125" spans="1:15" x14ac:dyDescent="0.35">
      <c r="A125">
        <v>124</v>
      </c>
      <c r="B125">
        <v>28</v>
      </c>
      <c r="C125" t="s">
        <v>12</v>
      </c>
      <c r="D125" t="s">
        <v>16</v>
      </c>
      <c r="E125" t="s">
        <v>30</v>
      </c>
      <c r="F125" t="s">
        <v>22</v>
      </c>
      <c r="G125">
        <v>3891</v>
      </c>
      <c r="H125">
        <v>455</v>
      </c>
      <c r="I125">
        <v>64</v>
      </c>
      <c r="J125" s="5">
        <v>9664</v>
      </c>
      <c r="K125" s="4">
        <v>1572</v>
      </c>
      <c r="L125" s="6">
        <v>45758</v>
      </c>
      <c r="M125" s="7">
        <f t="shared" si="3"/>
        <v>0.11693652017476228</v>
      </c>
      <c r="N125" s="7">
        <f t="shared" si="4"/>
        <v>0.14065934065934066</v>
      </c>
      <c r="O125" s="7">
        <f t="shared" si="5"/>
        <v>5.1475826972010177</v>
      </c>
    </row>
    <row r="126" spans="1:15" x14ac:dyDescent="0.35">
      <c r="A126">
        <v>125</v>
      </c>
      <c r="B126">
        <v>31</v>
      </c>
      <c r="C126" t="s">
        <v>12</v>
      </c>
      <c r="D126" t="s">
        <v>26</v>
      </c>
      <c r="E126" t="s">
        <v>21</v>
      </c>
      <c r="F126" t="s">
        <v>29</v>
      </c>
      <c r="G126">
        <v>1814</v>
      </c>
      <c r="H126">
        <v>262</v>
      </c>
      <c r="I126">
        <v>41</v>
      </c>
      <c r="J126" s="5">
        <v>6642</v>
      </c>
      <c r="K126" s="4">
        <v>204</v>
      </c>
      <c r="L126" s="6">
        <v>45719</v>
      </c>
      <c r="M126" s="7">
        <f t="shared" si="3"/>
        <v>0.1444321940463065</v>
      </c>
      <c r="N126" s="7">
        <f t="shared" si="4"/>
        <v>0.15648854961832062</v>
      </c>
      <c r="O126" s="7">
        <f t="shared" si="5"/>
        <v>31.558823529411764</v>
      </c>
    </row>
    <row r="127" spans="1:15" x14ac:dyDescent="0.35">
      <c r="A127">
        <v>126</v>
      </c>
      <c r="B127">
        <v>25</v>
      </c>
      <c r="C127" t="s">
        <v>12</v>
      </c>
      <c r="D127" t="s">
        <v>26</v>
      </c>
      <c r="E127" t="s">
        <v>14</v>
      </c>
      <c r="F127" t="s">
        <v>15</v>
      </c>
      <c r="G127">
        <v>4727</v>
      </c>
      <c r="H127">
        <v>138</v>
      </c>
      <c r="I127">
        <v>46</v>
      </c>
      <c r="J127" s="5">
        <v>4462</v>
      </c>
      <c r="K127" s="4">
        <v>288</v>
      </c>
      <c r="L127" s="6">
        <v>45761</v>
      </c>
      <c r="M127" s="7">
        <f t="shared" si="3"/>
        <v>2.9193991961074677E-2</v>
      </c>
      <c r="N127" s="7">
        <f t="shared" si="4"/>
        <v>0.33333333333333331</v>
      </c>
      <c r="O127" s="7">
        <f t="shared" si="5"/>
        <v>14.493055555555555</v>
      </c>
    </row>
    <row r="128" spans="1:15" x14ac:dyDescent="0.35">
      <c r="A128">
        <v>127</v>
      </c>
      <c r="B128">
        <v>50</v>
      </c>
      <c r="C128" t="s">
        <v>19</v>
      </c>
      <c r="D128" t="s">
        <v>23</v>
      </c>
      <c r="E128" t="s">
        <v>14</v>
      </c>
      <c r="F128" t="s">
        <v>22</v>
      </c>
      <c r="G128">
        <v>4097</v>
      </c>
      <c r="H128">
        <v>337</v>
      </c>
      <c r="I128">
        <v>55</v>
      </c>
      <c r="J128" s="5">
        <v>6435</v>
      </c>
      <c r="K128" s="4">
        <v>1860</v>
      </c>
      <c r="L128" s="6">
        <v>45720</v>
      </c>
      <c r="M128" s="7">
        <f t="shared" si="3"/>
        <v>8.2255308762509152E-2</v>
      </c>
      <c r="N128" s="7">
        <f t="shared" si="4"/>
        <v>0.16320474777448071</v>
      </c>
      <c r="O128" s="7">
        <f t="shared" si="5"/>
        <v>2.4596774193548385</v>
      </c>
    </row>
    <row r="129" spans="1:15" x14ac:dyDescent="0.35">
      <c r="A129">
        <v>128</v>
      </c>
      <c r="B129">
        <v>19</v>
      </c>
      <c r="C129" t="s">
        <v>19</v>
      </c>
      <c r="D129" t="s">
        <v>13</v>
      </c>
      <c r="E129" t="s">
        <v>25</v>
      </c>
      <c r="F129" t="s">
        <v>18</v>
      </c>
      <c r="G129">
        <v>2690</v>
      </c>
      <c r="H129">
        <v>202</v>
      </c>
      <c r="I129">
        <v>21</v>
      </c>
      <c r="J129" s="5">
        <v>3990</v>
      </c>
      <c r="K129" s="4">
        <v>1448</v>
      </c>
      <c r="L129" s="6">
        <v>45761</v>
      </c>
      <c r="M129" s="7">
        <f t="shared" si="3"/>
        <v>7.5092936802973978E-2</v>
      </c>
      <c r="N129" s="7">
        <f t="shared" si="4"/>
        <v>0.10396039603960396</v>
      </c>
      <c r="O129" s="7">
        <f t="shared" si="5"/>
        <v>1.7555248618784531</v>
      </c>
    </row>
    <row r="130" spans="1:15" x14ac:dyDescent="0.35">
      <c r="A130">
        <v>129</v>
      </c>
      <c r="B130">
        <v>20</v>
      </c>
      <c r="C130" t="s">
        <v>12</v>
      </c>
      <c r="D130" t="s">
        <v>16</v>
      </c>
      <c r="E130" t="s">
        <v>14</v>
      </c>
      <c r="F130" t="s">
        <v>31</v>
      </c>
      <c r="G130">
        <v>2651</v>
      </c>
      <c r="H130">
        <v>484</v>
      </c>
      <c r="I130">
        <v>43</v>
      </c>
      <c r="J130" s="5">
        <v>3655</v>
      </c>
      <c r="K130" s="4">
        <v>397</v>
      </c>
      <c r="L130" s="6">
        <v>45708</v>
      </c>
      <c r="M130" s="7">
        <f t="shared" si="3"/>
        <v>0.18257261410788381</v>
      </c>
      <c r="N130" s="7">
        <f t="shared" si="4"/>
        <v>8.8842975206611566E-2</v>
      </c>
      <c r="O130" s="7">
        <f t="shared" si="5"/>
        <v>8.20654911838791</v>
      </c>
    </row>
    <row r="131" spans="1:15" x14ac:dyDescent="0.35">
      <c r="A131">
        <v>130</v>
      </c>
      <c r="B131">
        <v>50</v>
      </c>
      <c r="C131" t="s">
        <v>19</v>
      </c>
      <c r="D131" t="s">
        <v>20</v>
      </c>
      <c r="E131" t="s">
        <v>25</v>
      </c>
      <c r="F131" t="s">
        <v>18</v>
      </c>
      <c r="G131">
        <v>2535</v>
      </c>
      <c r="H131">
        <v>280</v>
      </c>
      <c r="I131">
        <v>31</v>
      </c>
      <c r="J131" s="5">
        <v>3348</v>
      </c>
      <c r="K131" s="4">
        <v>619</v>
      </c>
      <c r="L131" s="6">
        <v>45684</v>
      </c>
      <c r="M131" s="7">
        <f t="shared" ref="M131:M194" si="6">H131/G131</f>
        <v>0.11045364891518737</v>
      </c>
      <c r="N131" s="7">
        <f t="shared" ref="N131:N194" si="7">I131/H131</f>
        <v>0.11071428571428571</v>
      </c>
      <c r="O131" s="7">
        <f t="shared" ref="O131:O194" si="8">(J131-K131)/K131</f>
        <v>4.4087237479806136</v>
      </c>
    </row>
    <row r="132" spans="1:15" x14ac:dyDescent="0.35">
      <c r="A132">
        <v>131</v>
      </c>
      <c r="B132">
        <v>27</v>
      </c>
      <c r="C132" t="s">
        <v>19</v>
      </c>
      <c r="D132" t="s">
        <v>13</v>
      </c>
      <c r="E132" t="s">
        <v>25</v>
      </c>
      <c r="F132" t="s">
        <v>22</v>
      </c>
      <c r="G132">
        <v>1450</v>
      </c>
      <c r="H132">
        <v>338</v>
      </c>
      <c r="I132">
        <v>72</v>
      </c>
      <c r="J132" s="5">
        <v>10440</v>
      </c>
      <c r="K132" s="4">
        <v>797</v>
      </c>
      <c r="L132" s="6">
        <v>45731</v>
      </c>
      <c r="M132" s="7">
        <f t="shared" si="6"/>
        <v>0.23310344827586207</v>
      </c>
      <c r="N132" s="7">
        <f t="shared" si="7"/>
        <v>0.21301775147928995</v>
      </c>
      <c r="O132" s="7">
        <f t="shared" si="8"/>
        <v>12.099121706398996</v>
      </c>
    </row>
    <row r="133" spans="1:15" x14ac:dyDescent="0.35">
      <c r="A133">
        <v>132</v>
      </c>
      <c r="B133">
        <v>53</v>
      </c>
      <c r="C133" t="s">
        <v>12</v>
      </c>
      <c r="D133" t="s">
        <v>13</v>
      </c>
      <c r="E133" t="s">
        <v>17</v>
      </c>
      <c r="F133" t="s">
        <v>31</v>
      </c>
      <c r="G133">
        <v>3412</v>
      </c>
      <c r="H133">
        <v>167</v>
      </c>
      <c r="I133">
        <v>42</v>
      </c>
      <c r="J133" s="5">
        <v>5292</v>
      </c>
      <c r="K133" s="4">
        <v>1382</v>
      </c>
      <c r="L133" s="6">
        <v>45709</v>
      </c>
      <c r="M133" s="7">
        <f t="shared" si="6"/>
        <v>4.8944900351699884E-2</v>
      </c>
      <c r="N133" s="7">
        <f t="shared" si="7"/>
        <v>0.25149700598802394</v>
      </c>
      <c r="O133" s="7">
        <f t="shared" si="8"/>
        <v>2.8292329956584661</v>
      </c>
    </row>
    <row r="134" spans="1:15" x14ac:dyDescent="0.35">
      <c r="A134">
        <v>133</v>
      </c>
      <c r="B134">
        <v>21</v>
      </c>
      <c r="C134" t="s">
        <v>19</v>
      </c>
      <c r="D134" t="s">
        <v>23</v>
      </c>
      <c r="E134" t="s">
        <v>33</v>
      </c>
      <c r="F134" t="s">
        <v>15</v>
      </c>
      <c r="G134">
        <v>3728</v>
      </c>
      <c r="H134">
        <v>185</v>
      </c>
      <c r="I134">
        <v>9</v>
      </c>
      <c r="J134" s="5">
        <v>1134</v>
      </c>
      <c r="K134" s="4">
        <v>1380</v>
      </c>
      <c r="L134" s="6">
        <v>45684</v>
      </c>
      <c r="M134" s="7">
        <f t="shared" si="6"/>
        <v>4.9624463519313301E-2</v>
      </c>
      <c r="N134" s="7">
        <f t="shared" si="7"/>
        <v>4.8648648648648651E-2</v>
      </c>
      <c r="O134" s="7">
        <f t="shared" si="8"/>
        <v>-0.17826086956521739</v>
      </c>
    </row>
    <row r="135" spans="1:15" x14ac:dyDescent="0.35">
      <c r="A135">
        <v>134</v>
      </c>
      <c r="B135">
        <v>44</v>
      </c>
      <c r="C135" t="s">
        <v>19</v>
      </c>
      <c r="D135" t="s">
        <v>23</v>
      </c>
      <c r="E135" t="s">
        <v>25</v>
      </c>
      <c r="F135" t="s">
        <v>18</v>
      </c>
      <c r="G135">
        <v>594</v>
      </c>
      <c r="H135">
        <v>164</v>
      </c>
      <c r="I135">
        <v>40</v>
      </c>
      <c r="J135" s="5">
        <v>4200</v>
      </c>
      <c r="K135" s="4">
        <v>1515</v>
      </c>
      <c r="L135" s="6">
        <v>45677</v>
      </c>
      <c r="M135" s="7">
        <f t="shared" si="6"/>
        <v>0.27609427609427611</v>
      </c>
      <c r="N135" s="7">
        <f t="shared" si="7"/>
        <v>0.24390243902439024</v>
      </c>
      <c r="O135" s="7">
        <f t="shared" si="8"/>
        <v>1.7722772277227723</v>
      </c>
    </row>
    <row r="136" spans="1:15" x14ac:dyDescent="0.35">
      <c r="A136">
        <v>135</v>
      </c>
      <c r="B136">
        <v>23</v>
      </c>
      <c r="C136" t="s">
        <v>19</v>
      </c>
      <c r="D136" t="s">
        <v>16</v>
      </c>
      <c r="E136" t="s">
        <v>17</v>
      </c>
      <c r="F136" t="s">
        <v>29</v>
      </c>
      <c r="G136">
        <v>4606</v>
      </c>
      <c r="H136">
        <v>303</v>
      </c>
      <c r="I136">
        <v>78</v>
      </c>
      <c r="J136" s="5">
        <v>9126</v>
      </c>
      <c r="K136" s="4">
        <v>1071</v>
      </c>
      <c r="L136" s="6">
        <v>45680</v>
      </c>
      <c r="M136" s="7">
        <f t="shared" si="6"/>
        <v>6.5783760312635692E-2</v>
      </c>
      <c r="N136" s="7">
        <f t="shared" si="7"/>
        <v>0.25742574257425743</v>
      </c>
      <c r="O136" s="7">
        <f t="shared" si="8"/>
        <v>7.5210084033613445</v>
      </c>
    </row>
    <row r="137" spans="1:15" x14ac:dyDescent="0.35">
      <c r="A137">
        <v>136</v>
      </c>
      <c r="B137">
        <v>43</v>
      </c>
      <c r="C137" t="s">
        <v>12</v>
      </c>
      <c r="D137" t="s">
        <v>13</v>
      </c>
      <c r="E137" t="s">
        <v>17</v>
      </c>
      <c r="F137" t="s">
        <v>29</v>
      </c>
      <c r="G137">
        <v>1314</v>
      </c>
      <c r="H137">
        <v>395</v>
      </c>
      <c r="I137">
        <v>50</v>
      </c>
      <c r="J137" s="5">
        <v>4550</v>
      </c>
      <c r="K137" s="4">
        <v>562</v>
      </c>
      <c r="L137" s="6">
        <v>45719</v>
      </c>
      <c r="M137" s="7">
        <f t="shared" si="6"/>
        <v>0.30060882800608829</v>
      </c>
      <c r="N137" s="7">
        <f t="shared" si="7"/>
        <v>0.12658227848101267</v>
      </c>
      <c r="O137" s="7">
        <f t="shared" si="8"/>
        <v>7.0960854092526686</v>
      </c>
    </row>
    <row r="138" spans="1:15" x14ac:dyDescent="0.35">
      <c r="A138">
        <v>137</v>
      </c>
      <c r="B138">
        <v>53</v>
      </c>
      <c r="C138" t="s">
        <v>12</v>
      </c>
      <c r="D138" t="s">
        <v>26</v>
      </c>
      <c r="E138" t="s">
        <v>32</v>
      </c>
      <c r="F138" t="s">
        <v>22</v>
      </c>
      <c r="G138">
        <v>3781</v>
      </c>
      <c r="H138">
        <v>160</v>
      </c>
      <c r="I138">
        <v>64</v>
      </c>
      <c r="J138" s="5">
        <v>9920</v>
      </c>
      <c r="K138" s="4">
        <v>882</v>
      </c>
      <c r="L138" s="6">
        <v>45662</v>
      </c>
      <c r="M138" s="7">
        <f t="shared" si="6"/>
        <v>4.231684739486908E-2</v>
      </c>
      <c r="N138" s="7">
        <f t="shared" si="7"/>
        <v>0.4</v>
      </c>
      <c r="O138" s="7">
        <f t="shared" si="8"/>
        <v>10.247165532879819</v>
      </c>
    </row>
    <row r="139" spans="1:15" x14ac:dyDescent="0.35">
      <c r="A139">
        <v>138</v>
      </c>
      <c r="B139">
        <v>45</v>
      </c>
      <c r="C139" t="s">
        <v>19</v>
      </c>
      <c r="D139" t="s">
        <v>27</v>
      </c>
      <c r="E139" t="s">
        <v>21</v>
      </c>
      <c r="F139" t="s">
        <v>18</v>
      </c>
      <c r="G139">
        <v>3435</v>
      </c>
      <c r="H139">
        <v>342</v>
      </c>
      <c r="I139">
        <v>76</v>
      </c>
      <c r="J139" s="5">
        <v>14060</v>
      </c>
      <c r="K139" s="4">
        <v>326</v>
      </c>
      <c r="L139" s="6">
        <v>45666</v>
      </c>
      <c r="M139" s="7">
        <f t="shared" si="6"/>
        <v>9.9563318777292575E-2</v>
      </c>
      <c r="N139" s="7">
        <f t="shared" si="7"/>
        <v>0.22222222222222221</v>
      </c>
      <c r="O139" s="7">
        <f t="shared" si="8"/>
        <v>42.128834355828218</v>
      </c>
    </row>
    <row r="140" spans="1:15" x14ac:dyDescent="0.35">
      <c r="A140">
        <v>139</v>
      </c>
      <c r="B140">
        <v>28</v>
      </c>
      <c r="C140" t="s">
        <v>12</v>
      </c>
      <c r="D140" t="s">
        <v>20</v>
      </c>
      <c r="E140" t="s">
        <v>14</v>
      </c>
      <c r="F140" t="s">
        <v>18</v>
      </c>
      <c r="G140">
        <v>4646</v>
      </c>
      <c r="H140">
        <v>78</v>
      </c>
      <c r="I140">
        <v>44</v>
      </c>
      <c r="J140" s="5">
        <v>7260</v>
      </c>
      <c r="K140" s="4">
        <v>1520</v>
      </c>
      <c r="L140" s="6">
        <v>45658</v>
      </c>
      <c r="M140" s="7">
        <f t="shared" si="6"/>
        <v>1.6788635385277657E-2</v>
      </c>
      <c r="N140" s="7">
        <f t="shared" si="7"/>
        <v>0.5641025641025641</v>
      </c>
      <c r="O140" s="7">
        <f t="shared" si="8"/>
        <v>3.7763157894736841</v>
      </c>
    </row>
    <row r="141" spans="1:15" x14ac:dyDescent="0.35">
      <c r="A141">
        <v>140</v>
      </c>
      <c r="B141">
        <v>53</v>
      </c>
      <c r="C141" t="s">
        <v>19</v>
      </c>
      <c r="D141" t="s">
        <v>16</v>
      </c>
      <c r="E141" t="s">
        <v>28</v>
      </c>
      <c r="F141" t="s">
        <v>18</v>
      </c>
      <c r="G141">
        <v>3361</v>
      </c>
      <c r="H141">
        <v>150</v>
      </c>
      <c r="I141">
        <v>25</v>
      </c>
      <c r="J141" s="5">
        <v>4725</v>
      </c>
      <c r="K141" s="4">
        <v>1569</v>
      </c>
      <c r="L141" s="6">
        <v>45744</v>
      </c>
      <c r="M141" s="7">
        <f t="shared" si="6"/>
        <v>4.4629574531389465E-2</v>
      </c>
      <c r="N141" s="7">
        <f t="shared" si="7"/>
        <v>0.16666666666666666</v>
      </c>
      <c r="O141" s="7">
        <f t="shared" si="8"/>
        <v>2.0114722753346079</v>
      </c>
    </row>
    <row r="142" spans="1:15" x14ac:dyDescent="0.35">
      <c r="A142">
        <v>141</v>
      </c>
      <c r="B142">
        <v>32</v>
      </c>
      <c r="C142" t="s">
        <v>12</v>
      </c>
      <c r="D142" t="s">
        <v>13</v>
      </c>
      <c r="E142" t="s">
        <v>25</v>
      </c>
      <c r="F142" t="s">
        <v>15</v>
      </c>
      <c r="G142">
        <v>3372</v>
      </c>
      <c r="H142">
        <v>50</v>
      </c>
      <c r="I142">
        <v>67</v>
      </c>
      <c r="J142" s="5">
        <v>12998</v>
      </c>
      <c r="K142" s="4">
        <v>766</v>
      </c>
      <c r="L142" s="6">
        <v>45704</v>
      </c>
      <c r="M142" s="7">
        <f t="shared" si="6"/>
        <v>1.4827995255041519E-2</v>
      </c>
      <c r="N142" s="7">
        <f t="shared" si="7"/>
        <v>1.34</v>
      </c>
      <c r="O142" s="7">
        <f t="shared" si="8"/>
        <v>15.968668407310705</v>
      </c>
    </row>
    <row r="143" spans="1:15" x14ac:dyDescent="0.35">
      <c r="A143">
        <v>142</v>
      </c>
      <c r="B143">
        <v>43</v>
      </c>
      <c r="C143" t="s">
        <v>19</v>
      </c>
      <c r="D143" t="s">
        <v>13</v>
      </c>
      <c r="E143" t="s">
        <v>30</v>
      </c>
      <c r="F143" t="s">
        <v>15</v>
      </c>
      <c r="G143">
        <v>1832</v>
      </c>
      <c r="H143">
        <v>186</v>
      </c>
      <c r="I143">
        <v>78</v>
      </c>
      <c r="J143" s="5">
        <v>10608</v>
      </c>
      <c r="K143" s="4">
        <v>1659</v>
      </c>
      <c r="L143" s="6">
        <v>45692</v>
      </c>
      <c r="M143" s="7">
        <f t="shared" si="6"/>
        <v>0.10152838427947598</v>
      </c>
      <c r="N143" s="7">
        <f t="shared" si="7"/>
        <v>0.41935483870967744</v>
      </c>
      <c r="O143" s="7">
        <f t="shared" si="8"/>
        <v>5.3942133815551534</v>
      </c>
    </row>
    <row r="144" spans="1:15" x14ac:dyDescent="0.35">
      <c r="A144">
        <v>143</v>
      </c>
      <c r="B144">
        <v>19</v>
      </c>
      <c r="C144" t="s">
        <v>19</v>
      </c>
      <c r="D144" t="s">
        <v>20</v>
      </c>
      <c r="E144" t="s">
        <v>14</v>
      </c>
      <c r="F144" t="s">
        <v>22</v>
      </c>
      <c r="G144">
        <v>1074</v>
      </c>
      <c r="H144">
        <v>293</v>
      </c>
      <c r="I144">
        <v>29</v>
      </c>
      <c r="J144" s="5">
        <v>4466</v>
      </c>
      <c r="K144" s="4">
        <v>1825</v>
      </c>
      <c r="L144" s="6">
        <v>45739</v>
      </c>
      <c r="M144" s="7">
        <f t="shared" si="6"/>
        <v>0.27281191806331473</v>
      </c>
      <c r="N144" s="7">
        <f t="shared" si="7"/>
        <v>9.8976109215017066E-2</v>
      </c>
      <c r="O144" s="7">
        <f t="shared" si="8"/>
        <v>1.4471232876712328</v>
      </c>
    </row>
    <row r="145" spans="1:15" x14ac:dyDescent="0.35">
      <c r="A145">
        <v>144</v>
      </c>
      <c r="B145">
        <v>41</v>
      </c>
      <c r="C145" t="s">
        <v>19</v>
      </c>
      <c r="D145" t="s">
        <v>26</v>
      </c>
      <c r="E145" t="s">
        <v>30</v>
      </c>
      <c r="F145" t="s">
        <v>31</v>
      </c>
      <c r="G145">
        <v>974</v>
      </c>
      <c r="H145">
        <v>467</v>
      </c>
      <c r="I145">
        <v>21</v>
      </c>
      <c r="J145" s="5">
        <v>2562</v>
      </c>
      <c r="K145" s="4">
        <v>839</v>
      </c>
      <c r="L145" s="6">
        <v>45728</v>
      </c>
      <c r="M145" s="7">
        <f t="shared" si="6"/>
        <v>0.47946611909650921</v>
      </c>
      <c r="N145" s="7">
        <f t="shared" si="7"/>
        <v>4.4967880085653104E-2</v>
      </c>
      <c r="O145" s="7">
        <f t="shared" si="8"/>
        <v>2.0536352800953517</v>
      </c>
    </row>
    <row r="146" spans="1:15" x14ac:dyDescent="0.35">
      <c r="A146">
        <v>145</v>
      </c>
      <c r="B146">
        <v>39</v>
      </c>
      <c r="C146" t="s">
        <v>12</v>
      </c>
      <c r="D146" t="s">
        <v>23</v>
      </c>
      <c r="E146" t="s">
        <v>21</v>
      </c>
      <c r="F146" t="s">
        <v>15</v>
      </c>
      <c r="G146">
        <v>4072</v>
      </c>
      <c r="H146">
        <v>393</v>
      </c>
      <c r="I146">
        <v>37</v>
      </c>
      <c r="J146" s="5">
        <v>3996</v>
      </c>
      <c r="K146" s="4">
        <v>376</v>
      </c>
      <c r="L146" s="6">
        <v>45685</v>
      </c>
      <c r="M146" s="7">
        <f t="shared" si="6"/>
        <v>9.6512770137524559E-2</v>
      </c>
      <c r="N146" s="7">
        <f t="shared" si="7"/>
        <v>9.4147582697201013E-2</v>
      </c>
      <c r="O146" s="7">
        <f t="shared" si="8"/>
        <v>9.6276595744680851</v>
      </c>
    </row>
    <row r="147" spans="1:15" x14ac:dyDescent="0.35">
      <c r="A147">
        <v>146</v>
      </c>
      <c r="B147">
        <v>39</v>
      </c>
      <c r="C147" t="s">
        <v>12</v>
      </c>
      <c r="D147" t="s">
        <v>26</v>
      </c>
      <c r="E147" t="s">
        <v>17</v>
      </c>
      <c r="F147" t="s">
        <v>31</v>
      </c>
      <c r="G147">
        <v>3620</v>
      </c>
      <c r="H147">
        <v>386</v>
      </c>
      <c r="I147">
        <v>53</v>
      </c>
      <c r="J147" s="5">
        <v>10441</v>
      </c>
      <c r="K147" s="4">
        <v>347</v>
      </c>
      <c r="L147" s="6">
        <v>45706</v>
      </c>
      <c r="M147" s="7">
        <f t="shared" si="6"/>
        <v>0.10662983425414364</v>
      </c>
      <c r="N147" s="7">
        <f t="shared" si="7"/>
        <v>0.13730569948186527</v>
      </c>
      <c r="O147" s="7">
        <f t="shared" si="8"/>
        <v>29.089337175792508</v>
      </c>
    </row>
    <row r="148" spans="1:15" x14ac:dyDescent="0.35">
      <c r="A148">
        <v>147</v>
      </c>
      <c r="B148">
        <v>36</v>
      </c>
      <c r="C148" t="s">
        <v>12</v>
      </c>
      <c r="D148" t="s">
        <v>27</v>
      </c>
      <c r="E148" t="s">
        <v>34</v>
      </c>
      <c r="F148" t="s">
        <v>29</v>
      </c>
      <c r="G148">
        <v>4922</v>
      </c>
      <c r="H148">
        <v>306</v>
      </c>
      <c r="I148">
        <v>17</v>
      </c>
      <c r="J148" s="5">
        <v>2822</v>
      </c>
      <c r="K148" s="4">
        <v>1189</v>
      </c>
      <c r="L148" s="6">
        <v>45702</v>
      </c>
      <c r="M148" s="7">
        <f t="shared" si="6"/>
        <v>6.2169849654611947E-2</v>
      </c>
      <c r="N148" s="7">
        <f t="shared" si="7"/>
        <v>5.5555555555555552E-2</v>
      </c>
      <c r="O148" s="7">
        <f t="shared" si="8"/>
        <v>1.3734230445752733</v>
      </c>
    </row>
    <row r="149" spans="1:15" x14ac:dyDescent="0.35">
      <c r="A149">
        <v>148</v>
      </c>
      <c r="B149">
        <v>35</v>
      </c>
      <c r="C149" t="s">
        <v>19</v>
      </c>
      <c r="D149" t="s">
        <v>27</v>
      </c>
      <c r="E149" t="s">
        <v>34</v>
      </c>
      <c r="F149" t="s">
        <v>18</v>
      </c>
      <c r="G149">
        <v>2000</v>
      </c>
      <c r="H149">
        <v>335</v>
      </c>
      <c r="I149">
        <v>20</v>
      </c>
      <c r="J149" s="5">
        <v>1960</v>
      </c>
      <c r="K149" s="4">
        <v>1647</v>
      </c>
      <c r="L149" s="6">
        <v>45735</v>
      </c>
      <c r="M149" s="7">
        <f t="shared" si="6"/>
        <v>0.16750000000000001</v>
      </c>
      <c r="N149" s="7">
        <f t="shared" si="7"/>
        <v>5.9701492537313432E-2</v>
      </c>
      <c r="O149" s="7">
        <f t="shared" si="8"/>
        <v>0.19004250151791136</v>
      </c>
    </row>
    <row r="150" spans="1:15" x14ac:dyDescent="0.35">
      <c r="A150">
        <v>149</v>
      </c>
      <c r="B150">
        <v>21</v>
      </c>
      <c r="C150" t="s">
        <v>19</v>
      </c>
      <c r="D150" t="s">
        <v>26</v>
      </c>
      <c r="E150" t="s">
        <v>34</v>
      </c>
      <c r="F150" t="s">
        <v>22</v>
      </c>
      <c r="G150">
        <v>3557</v>
      </c>
      <c r="H150">
        <v>243</v>
      </c>
      <c r="I150">
        <v>42</v>
      </c>
      <c r="J150" s="5">
        <v>5964</v>
      </c>
      <c r="K150" s="4">
        <v>1146</v>
      </c>
      <c r="L150" s="6">
        <v>45665</v>
      </c>
      <c r="M150" s="7">
        <f t="shared" si="6"/>
        <v>6.8315996626370543E-2</v>
      </c>
      <c r="N150" s="7">
        <f t="shared" si="7"/>
        <v>0.1728395061728395</v>
      </c>
      <c r="O150" s="7">
        <f t="shared" si="8"/>
        <v>4.2041884816753923</v>
      </c>
    </row>
    <row r="151" spans="1:15" x14ac:dyDescent="0.35">
      <c r="A151">
        <v>150</v>
      </c>
      <c r="B151">
        <v>27</v>
      </c>
      <c r="C151" t="s">
        <v>19</v>
      </c>
      <c r="D151" t="s">
        <v>23</v>
      </c>
      <c r="E151" t="s">
        <v>24</v>
      </c>
      <c r="F151" t="s">
        <v>29</v>
      </c>
      <c r="G151">
        <v>4650</v>
      </c>
      <c r="H151">
        <v>408</v>
      </c>
      <c r="I151">
        <v>7</v>
      </c>
      <c r="J151" s="5">
        <v>623</v>
      </c>
      <c r="K151" s="4">
        <v>999</v>
      </c>
      <c r="L151" s="6">
        <v>45767</v>
      </c>
      <c r="M151" s="7">
        <f t="shared" si="6"/>
        <v>8.7741935483870964E-2</v>
      </c>
      <c r="N151" s="7">
        <f t="shared" si="7"/>
        <v>1.7156862745098041E-2</v>
      </c>
      <c r="O151" s="7">
        <f t="shared" si="8"/>
        <v>-0.37637637637637639</v>
      </c>
    </row>
    <row r="152" spans="1:15" x14ac:dyDescent="0.35">
      <c r="A152">
        <v>151</v>
      </c>
      <c r="B152">
        <v>24</v>
      </c>
      <c r="C152" t="s">
        <v>12</v>
      </c>
      <c r="D152" t="s">
        <v>26</v>
      </c>
      <c r="E152" t="s">
        <v>17</v>
      </c>
      <c r="F152" t="s">
        <v>29</v>
      </c>
      <c r="G152">
        <v>3951</v>
      </c>
      <c r="H152">
        <v>136</v>
      </c>
      <c r="I152">
        <v>59</v>
      </c>
      <c r="J152" s="5">
        <v>6549</v>
      </c>
      <c r="K152" s="4">
        <v>1699</v>
      </c>
      <c r="L152" s="6">
        <v>45722</v>
      </c>
      <c r="M152" s="7">
        <f t="shared" si="6"/>
        <v>3.4421665401164266E-2</v>
      </c>
      <c r="N152" s="7">
        <f t="shared" si="7"/>
        <v>0.43382352941176472</v>
      </c>
      <c r="O152" s="7">
        <f t="shared" si="8"/>
        <v>2.8546203649205415</v>
      </c>
    </row>
    <row r="153" spans="1:15" x14ac:dyDescent="0.35">
      <c r="A153">
        <v>152</v>
      </c>
      <c r="B153">
        <v>54</v>
      </c>
      <c r="C153" t="s">
        <v>12</v>
      </c>
      <c r="D153" t="s">
        <v>16</v>
      </c>
      <c r="E153" t="s">
        <v>24</v>
      </c>
      <c r="F153" t="s">
        <v>22</v>
      </c>
      <c r="G153">
        <v>4908</v>
      </c>
      <c r="H153">
        <v>296</v>
      </c>
      <c r="I153">
        <v>71</v>
      </c>
      <c r="J153" s="5">
        <v>10721</v>
      </c>
      <c r="K153" s="4">
        <v>642</v>
      </c>
      <c r="L153" s="6">
        <v>45708</v>
      </c>
      <c r="M153" s="7">
        <f t="shared" si="6"/>
        <v>6.0309698451507743E-2</v>
      </c>
      <c r="N153" s="7">
        <f t="shared" si="7"/>
        <v>0.23986486486486486</v>
      </c>
      <c r="O153" s="7">
        <f t="shared" si="8"/>
        <v>15.699376947040498</v>
      </c>
    </row>
    <row r="154" spans="1:15" x14ac:dyDescent="0.35">
      <c r="A154">
        <v>153</v>
      </c>
      <c r="B154">
        <v>31</v>
      </c>
      <c r="C154" t="s">
        <v>12</v>
      </c>
      <c r="D154" t="s">
        <v>13</v>
      </c>
      <c r="E154" t="s">
        <v>17</v>
      </c>
      <c r="F154" t="s">
        <v>22</v>
      </c>
      <c r="G154">
        <v>4175</v>
      </c>
      <c r="H154">
        <v>313</v>
      </c>
      <c r="I154">
        <v>38</v>
      </c>
      <c r="J154" s="5">
        <v>6346</v>
      </c>
      <c r="K154" s="4">
        <v>295</v>
      </c>
      <c r="L154" s="6">
        <v>45703</v>
      </c>
      <c r="M154" s="7">
        <f t="shared" si="6"/>
        <v>7.4970059880239526E-2</v>
      </c>
      <c r="N154" s="7">
        <f t="shared" si="7"/>
        <v>0.12140575079872204</v>
      </c>
      <c r="O154" s="7">
        <f t="shared" si="8"/>
        <v>20.511864406779662</v>
      </c>
    </row>
    <row r="155" spans="1:15" x14ac:dyDescent="0.35">
      <c r="A155">
        <v>154</v>
      </c>
      <c r="B155">
        <v>38</v>
      </c>
      <c r="C155" t="s">
        <v>19</v>
      </c>
      <c r="D155" t="s">
        <v>26</v>
      </c>
      <c r="E155" t="s">
        <v>14</v>
      </c>
      <c r="F155" t="s">
        <v>15</v>
      </c>
      <c r="G155">
        <v>3038</v>
      </c>
      <c r="H155">
        <v>449</v>
      </c>
      <c r="I155">
        <v>72</v>
      </c>
      <c r="J155" s="5">
        <v>8352</v>
      </c>
      <c r="K155" s="4">
        <v>1723</v>
      </c>
      <c r="L155" s="6">
        <v>45705</v>
      </c>
      <c r="M155" s="7">
        <f t="shared" si="6"/>
        <v>0.1477946017116524</v>
      </c>
      <c r="N155" s="7">
        <f t="shared" si="7"/>
        <v>0.16035634743875279</v>
      </c>
      <c r="O155" s="7">
        <f t="shared" si="8"/>
        <v>3.8473592571096922</v>
      </c>
    </row>
    <row r="156" spans="1:15" x14ac:dyDescent="0.35">
      <c r="A156">
        <v>155</v>
      </c>
      <c r="B156">
        <v>36</v>
      </c>
      <c r="C156" t="s">
        <v>12</v>
      </c>
      <c r="D156" t="s">
        <v>27</v>
      </c>
      <c r="E156" t="s">
        <v>24</v>
      </c>
      <c r="F156" t="s">
        <v>15</v>
      </c>
      <c r="G156">
        <v>4925</v>
      </c>
      <c r="H156">
        <v>312</v>
      </c>
      <c r="I156">
        <v>37</v>
      </c>
      <c r="J156" s="5">
        <v>6068</v>
      </c>
      <c r="K156" s="4">
        <v>350</v>
      </c>
      <c r="L156" s="6">
        <v>45693</v>
      </c>
      <c r="M156" s="7">
        <f t="shared" si="6"/>
        <v>6.3350253807106599E-2</v>
      </c>
      <c r="N156" s="7">
        <f t="shared" si="7"/>
        <v>0.11858974358974358</v>
      </c>
      <c r="O156" s="7">
        <f t="shared" si="8"/>
        <v>16.337142857142858</v>
      </c>
    </row>
    <row r="157" spans="1:15" x14ac:dyDescent="0.35">
      <c r="A157">
        <v>156</v>
      </c>
      <c r="B157">
        <v>37</v>
      </c>
      <c r="C157" t="s">
        <v>19</v>
      </c>
      <c r="D157" t="s">
        <v>13</v>
      </c>
      <c r="E157" t="s">
        <v>21</v>
      </c>
      <c r="F157" t="s">
        <v>18</v>
      </c>
      <c r="G157">
        <v>1808</v>
      </c>
      <c r="H157">
        <v>237</v>
      </c>
      <c r="I157">
        <v>6</v>
      </c>
      <c r="J157" s="5">
        <v>888</v>
      </c>
      <c r="K157" s="4">
        <v>1014</v>
      </c>
      <c r="L157" s="6">
        <v>45659</v>
      </c>
      <c r="M157" s="7">
        <f t="shared" si="6"/>
        <v>0.13108407079646017</v>
      </c>
      <c r="N157" s="7">
        <f t="shared" si="7"/>
        <v>2.5316455696202531E-2</v>
      </c>
      <c r="O157" s="7">
        <f t="shared" si="8"/>
        <v>-0.1242603550295858</v>
      </c>
    </row>
    <row r="158" spans="1:15" x14ac:dyDescent="0.35">
      <c r="A158">
        <v>157</v>
      </c>
      <c r="B158">
        <v>47</v>
      </c>
      <c r="C158" t="s">
        <v>12</v>
      </c>
      <c r="D158" t="s">
        <v>23</v>
      </c>
      <c r="E158" t="s">
        <v>30</v>
      </c>
      <c r="F158" t="s">
        <v>31</v>
      </c>
      <c r="G158">
        <v>3690</v>
      </c>
      <c r="H158">
        <v>445</v>
      </c>
      <c r="I158">
        <v>24</v>
      </c>
      <c r="J158" s="5">
        <v>2784</v>
      </c>
      <c r="K158" s="4">
        <v>460</v>
      </c>
      <c r="L158" s="6">
        <v>45755</v>
      </c>
      <c r="M158" s="7">
        <f t="shared" si="6"/>
        <v>0.12059620596205962</v>
      </c>
      <c r="N158" s="7">
        <f t="shared" si="7"/>
        <v>5.3932584269662923E-2</v>
      </c>
      <c r="O158" s="7">
        <f t="shared" si="8"/>
        <v>5.052173913043478</v>
      </c>
    </row>
    <row r="159" spans="1:15" x14ac:dyDescent="0.35">
      <c r="A159">
        <v>158</v>
      </c>
      <c r="B159">
        <v>47</v>
      </c>
      <c r="C159" t="s">
        <v>12</v>
      </c>
      <c r="D159" t="s">
        <v>20</v>
      </c>
      <c r="E159" t="s">
        <v>17</v>
      </c>
      <c r="F159" t="s">
        <v>31</v>
      </c>
      <c r="G159">
        <v>4077</v>
      </c>
      <c r="H159">
        <v>391</v>
      </c>
      <c r="I159">
        <v>28</v>
      </c>
      <c r="J159" s="5">
        <v>4284</v>
      </c>
      <c r="K159" s="4">
        <v>792</v>
      </c>
      <c r="L159" s="6">
        <v>45716</v>
      </c>
      <c r="M159" s="7">
        <f t="shared" si="6"/>
        <v>9.5903850870738286E-2</v>
      </c>
      <c r="N159" s="7">
        <f t="shared" si="7"/>
        <v>7.1611253196930943E-2</v>
      </c>
      <c r="O159" s="7">
        <f t="shared" si="8"/>
        <v>4.4090909090909092</v>
      </c>
    </row>
    <row r="160" spans="1:15" x14ac:dyDescent="0.35">
      <c r="A160">
        <v>159</v>
      </c>
      <c r="B160">
        <v>19</v>
      </c>
      <c r="C160" t="s">
        <v>12</v>
      </c>
      <c r="D160" t="s">
        <v>20</v>
      </c>
      <c r="E160" t="s">
        <v>30</v>
      </c>
      <c r="F160" t="s">
        <v>29</v>
      </c>
      <c r="G160">
        <v>4723</v>
      </c>
      <c r="H160">
        <v>273</v>
      </c>
      <c r="I160">
        <v>18</v>
      </c>
      <c r="J160" s="5">
        <v>2142</v>
      </c>
      <c r="K160" s="4">
        <v>720</v>
      </c>
      <c r="L160" s="6">
        <v>45760</v>
      </c>
      <c r="M160" s="7">
        <f t="shared" si="6"/>
        <v>5.7802244336226972E-2</v>
      </c>
      <c r="N160" s="7">
        <f t="shared" si="7"/>
        <v>6.5934065934065936E-2</v>
      </c>
      <c r="O160" s="7">
        <f t="shared" si="8"/>
        <v>1.9750000000000001</v>
      </c>
    </row>
    <row r="161" spans="1:15" x14ac:dyDescent="0.35">
      <c r="A161">
        <v>160</v>
      </c>
      <c r="B161">
        <v>46</v>
      </c>
      <c r="C161" t="s">
        <v>19</v>
      </c>
      <c r="D161" t="s">
        <v>27</v>
      </c>
      <c r="E161" t="s">
        <v>33</v>
      </c>
      <c r="F161" t="s">
        <v>18</v>
      </c>
      <c r="G161">
        <v>1801</v>
      </c>
      <c r="H161">
        <v>284</v>
      </c>
      <c r="I161">
        <v>8</v>
      </c>
      <c r="J161" s="5">
        <v>1096</v>
      </c>
      <c r="K161" s="4">
        <v>865</v>
      </c>
      <c r="L161" s="6">
        <v>45744</v>
      </c>
      <c r="M161" s="7">
        <f t="shared" si="6"/>
        <v>0.15769017212659633</v>
      </c>
      <c r="N161" s="7">
        <f t="shared" si="7"/>
        <v>2.8169014084507043E-2</v>
      </c>
      <c r="O161" s="7">
        <f t="shared" si="8"/>
        <v>0.26705202312138726</v>
      </c>
    </row>
    <row r="162" spans="1:15" x14ac:dyDescent="0.35">
      <c r="A162">
        <v>161</v>
      </c>
      <c r="B162">
        <v>53</v>
      </c>
      <c r="C162" t="s">
        <v>12</v>
      </c>
      <c r="D162" t="s">
        <v>16</v>
      </c>
      <c r="E162" t="s">
        <v>30</v>
      </c>
      <c r="F162" t="s">
        <v>29</v>
      </c>
      <c r="G162">
        <v>1304</v>
      </c>
      <c r="H162">
        <v>124</v>
      </c>
      <c r="I162">
        <v>74</v>
      </c>
      <c r="J162" s="5">
        <v>12136</v>
      </c>
      <c r="K162" s="4">
        <v>1369</v>
      </c>
      <c r="L162" s="6">
        <v>45695</v>
      </c>
      <c r="M162" s="7">
        <f t="shared" si="6"/>
        <v>9.5092024539877307E-2</v>
      </c>
      <c r="N162" s="7">
        <f t="shared" si="7"/>
        <v>0.59677419354838712</v>
      </c>
      <c r="O162" s="7">
        <f t="shared" si="8"/>
        <v>7.8648648648648649</v>
      </c>
    </row>
    <row r="163" spans="1:15" x14ac:dyDescent="0.35">
      <c r="A163">
        <v>162</v>
      </c>
      <c r="B163">
        <v>29</v>
      </c>
      <c r="C163" t="s">
        <v>12</v>
      </c>
      <c r="D163" t="s">
        <v>16</v>
      </c>
      <c r="E163" t="s">
        <v>14</v>
      </c>
      <c r="F163" t="s">
        <v>31</v>
      </c>
      <c r="G163">
        <v>2581</v>
      </c>
      <c r="H163">
        <v>66</v>
      </c>
      <c r="I163">
        <v>41</v>
      </c>
      <c r="J163" s="5">
        <v>7421</v>
      </c>
      <c r="K163" s="4">
        <v>1376</v>
      </c>
      <c r="L163" s="6">
        <v>45774</v>
      </c>
      <c r="M163" s="7">
        <f t="shared" si="6"/>
        <v>2.5571483920960869E-2</v>
      </c>
      <c r="N163" s="7">
        <f t="shared" si="7"/>
        <v>0.62121212121212122</v>
      </c>
      <c r="O163" s="7">
        <f t="shared" si="8"/>
        <v>4.3931686046511631</v>
      </c>
    </row>
    <row r="164" spans="1:15" x14ac:dyDescent="0.35">
      <c r="A164">
        <v>163</v>
      </c>
      <c r="B164">
        <v>44</v>
      </c>
      <c r="C164" t="s">
        <v>12</v>
      </c>
      <c r="D164" t="s">
        <v>23</v>
      </c>
      <c r="E164" t="s">
        <v>17</v>
      </c>
      <c r="F164" t="s">
        <v>31</v>
      </c>
      <c r="G164">
        <v>841</v>
      </c>
      <c r="H164">
        <v>76</v>
      </c>
      <c r="I164">
        <v>61</v>
      </c>
      <c r="J164" s="5">
        <v>5185</v>
      </c>
      <c r="K164" s="4">
        <v>1510</v>
      </c>
      <c r="L164" s="6">
        <v>45755</v>
      </c>
      <c r="M164" s="7">
        <f t="shared" si="6"/>
        <v>9.0368608799048747E-2</v>
      </c>
      <c r="N164" s="7">
        <f t="shared" si="7"/>
        <v>0.80263157894736847</v>
      </c>
      <c r="O164" s="7">
        <f t="shared" si="8"/>
        <v>2.4337748344370862</v>
      </c>
    </row>
    <row r="165" spans="1:15" x14ac:dyDescent="0.35">
      <c r="A165">
        <v>164</v>
      </c>
      <c r="B165">
        <v>38</v>
      </c>
      <c r="C165" t="s">
        <v>19</v>
      </c>
      <c r="D165" t="s">
        <v>26</v>
      </c>
      <c r="E165" t="s">
        <v>21</v>
      </c>
      <c r="F165" t="s">
        <v>22</v>
      </c>
      <c r="G165">
        <v>954</v>
      </c>
      <c r="H165">
        <v>443</v>
      </c>
      <c r="I165">
        <v>49</v>
      </c>
      <c r="J165" s="5">
        <v>5145</v>
      </c>
      <c r="K165" s="4">
        <v>1624</v>
      </c>
      <c r="L165" s="6">
        <v>45703</v>
      </c>
      <c r="M165" s="7">
        <f t="shared" si="6"/>
        <v>0.46436058700209643</v>
      </c>
      <c r="N165" s="7">
        <f t="shared" si="7"/>
        <v>0.11060948081264109</v>
      </c>
      <c r="O165" s="7">
        <f t="shared" si="8"/>
        <v>2.1681034482758621</v>
      </c>
    </row>
    <row r="166" spans="1:15" x14ac:dyDescent="0.35">
      <c r="A166">
        <v>165</v>
      </c>
      <c r="B166">
        <v>53</v>
      </c>
      <c r="C166" t="s">
        <v>12</v>
      </c>
      <c r="D166" t="s">
        <v>20</v>
      </c>
      <c r="E166" t="s">
        <v>24</v>
      </c>
      <c r="F166" t="s">
        <v>31</v>
      </c>
      <c r="G166">
        <v>4725</v>
      </c>
      <c r="H166">
        <v>359</v>
      </c>
      <c r="I166">
        <v>69</v>
      </c>
      <c r="J166" s="5">
        <v>9108</v>
      </c>
      <c r="K166" s="4">
        <v>1018</v>
      </c>
      <c r="L166" s="6">
        <v>45683</v>
      </c>
      <c r="M166" s="7">
        <f t="shared" si="6"/>
        <v>7.5978835978835979E-2</v>
      </c>
      <c r="N166" s="7">
        <f t="shared" si="7"/>
        <v>0.19220055710306408</v>
      </c>
      <c r="O166" s="7">
        <f t="shared" si="8"/>
        <v>7.9469548133595289</v>
      </c>
    </row>
    <row r="167" spans="1:15" x14ac:dyDescent="0.35">
      <c r="A167">
        <v>166</v>
      </c>
      <c r="B167">
        <v>53</v>
      </c>
      <c r="C167" t="s">
        <v>19</v>
      </c>
      <c r="D167" t="s">
        <v>20</v>
      </c>
      <c r="E167" t="s">
        <v>34</v>
      </c>
      <c r="F167" t="s">
        <v>31</v>
      </c>
      <c r="G167">
        <v>4624</v>
      </c>
      <c r="H167">
        <v>198</v>
      </c>
      <c r="I167">
        <v>15</v>
      </c>
      <c r="J167" s="5">
        <v>1350</v>
      </c>
      <c r="K167" s="4">
        <v>1519</v>
      </c>
      <c r="L167" s="6">
        <v>45716</v>
      </c>
      <c r="M167" s="7">
        <f t="shared" si="6"/>
        <v>4.2820069204152246E-2</v>
      </c>
      <c r="N167" s="7">
        <f t="shared" si="7"/>
        <v>7.575757575757576E-2</v>
      </c>
      <c r="O167" s="7">
        <f t="shared" si="8"/>
        <v>-0.11125740618828177</v>
      </c>
    </row>
    <row r="168" spans="1:15" x14ac:dyDescent="0.35">
      <c r="A168">
        <v>167</v>
      </c>
      <c r="B168">
        <v>41</v>
      </c>
      <c r="C168" t="s">
        <v>12</v>
      </c>
      <c r="D168" t="s">
        <v>20</v>
      </c>
      <c r="E168" t="s">
        <v>28</v>
      </c>
      <c r="F168" t="s">
        <v>29</v>
      </c>
      <c r="G168">
        <v>3354</v>
      </c>
      <c r="H168">
        <v>281</v>
      </c>
      <c r="I168">
        <v>58</v>
      </c>
      <c r="J168" s="5">
        <v>7772</v>
      </c>
      <c r="K168" s="4">
        <v>297</v>
      </c>
      <c r="L168" s="6">
        <v>45679</v>
      </c>
      <c r="M168" s="7">
        <f t="shared" si="6"/>
        <v>8.378056052474657E-2</v>
      </c>
      <c r="N168" s="7">
        <f t="shared" si="7"/>
        <v>0.20640569395017794</v>
      </c>
      <c r="O168" s="7">
        <f t="shared" si="8"/>
        <v>25.16835016835017</v>
      </c>
    </row>
    <row r="169" spans="1:15" x14ac:dyDescent="0.35">
      <c r="A169">
        <v>168</v>
      </c>
      <c r="B169">
        <v>34</v>
      </c>
      <c r="C169" t="s">
        <v>12</v>
      </c>
      <c r="D169" t="s">
        <v>23</v>
      </c>
      <c r="E169" t="s">
        <v>33</v>
      </c>
      <c r="F169" t="s">
        <v>31</v>
      </c>
      <c r="G169">
        <v>2285</v>
      </c>
      <c r="H169">
        <v>85</v>
      </c>
      <c r="I169">
        <v>24</v>
      </c>
      <c r="J169" s="5">
        <v>4272</v>
      </c>
      <c r="K169" s="4">
        <v>1690</v>
      </c>
      <c r="L169" s="6">
        <v>45730</v>
      </c>
      <c r="M169" s="7">
        <f t="shared" si="6"/>
        <v>3.7199124726477024E-2</v>
      </c>
      <c r="N169" s="7">
        <f t="shared" si="7"/>
        <v>0.28235294117647058</v>
      </c>
      <c r="O169" s="7">
        <f t="shared" si="8"/>
        <v>1.527810650887574</v>
      </c>
    </row>
    <row r="170" spans="1:15" x14ac:dyDescent="0.35">
      <c r="A170">
        <v>169</v>
      </c>
      <c r="B170">
        <v>34</v>
      </c>
      <c r="C170" t="s">
        <v>12</v>
      </c>
      <c r="D170" t="s">
        <v>16</v>
      </c>
      <c r="E170" t="s">
        <v>34</v>
      </c>
      <c r="F170" t="s">
        <v>22</v>
      </c>
      <c r="G170">
        <v>653</v>
      </c>
      <c r="H170">
        <v>499</v>
      </c>
      <c r="I170">
        <v>77</v>
      </c>
      <c r="J170" s="5">
        <v>9163</v>
      </c>
      <c r="K170" s="4">
        <v>912</v>
      </c>
      <c r="L170" s="6">
        <v>45746</v>
      </c>
      <c r="M170" s="7">
        <f t="shared" si="6"/>
        <v>0.76416539050535992</v>
      </c>
      <c r="N170" s="7">
        <f t="shared" si="7"/>
        <v>0.15430861723446893</v>
      </c>
      <c r="O170" s="7">
        <f t="shared" si="8"/>
        <v>9.0471491228070171</v>
      </c>
    </row>
    <row r="171" spans="1:15" x14ac:dyDescent="0.35">
      <c r="A171">
        <v>170</v>
      </c>
      <c r="B171">
        <v>52</v>
      </c>
      <c r="C171" t="s">
        <v>19</v>
      </c>
      <c r="D171" t="s">
        <v>16</v>
      </c>
      <c r="E171" t="s">
        <v>24</v>
      </c>
      <c r="F171" t="s">
        <v>22</v>
      </c>
      <c r="G171">
        <v>560</v>
      </c>
      <c r="H171">
        <v>476</v>
      </c>
      <c r="I171">
        <v>46</v>
      </c>
      <c r="J171" s="5">
        <v>5428</v>
      </c>
      <c r="K171" s="4">
        <v>224</v>
      </c>
      <c r="L171" s="6">
        <v>45771</v>
      </c>
      <c r="M171" s="7">
        <f t="shared" si="6"/>
        <v>0.85</v>
      </c>
      <c r="N171" s="7">
        <f t="shared" si="7"/>
        <v>9.6638655462184878E-2</v>
      </c>
      <c r="O171" s="7">
        <f t="shared" si="8"/>
        <v>23.232142857142858</v>
      </c>
    </row>
    <row r="172" spans="1:15" x14ac:dyDescent="0.35">
      <c r="A172">
        <v>171</v>
      </c>
      <c r="B172">
        <v>51</v>
      </c>
      <c r="C172" t="s">
        <v>12</v>
      </c>
      <c r="D172" t="s">
        <v>27</v>
      </c>
      <c r="E172" t="s">
        <v>24</v>
      </c>
      <c r="F172" t="s">
        <v>31</v>
      </c>
      <c r="G172">
        <v>1752</v>
      </c>
      <c r="H172">
        <v>157</v>
      </c>
      <c r="I172">
        <v>48</v>
      </c>
      <c r="J172" s="5">
        <v>8304</v>
      </c>
      <c r="K172" s="4">
        <v>1658</v>
      </c>
      <c r="L172" s="6">
        <v>45758</v>
      </c>
      <c r="M172" s="7">
        <f t="shared" si="6"/>
        <v>8.9611872146118723E-2</v>
      </c>
      <c r="N172" s="7">
        <f t="shared" si="7"/>
        <v>0.30573248407643311</v>
      </c>
      <c r="O172" s="7">
        <f t="shared" si="8"/>
        <v>4.0084439083232812</v>
      </c>
    </row>
    <row r="173" spans="1:15" x14ac:dyDescent="0.35">
      <c r="A173">
        <v>172</v>
      </c>
      <c r="B173">
        <v>27</v>
      </c>
      <c r="C173" t="s">
        <v>19</v>
      </c>
      <c r="D173" t="s">
        <v>16</v>
      </c>
      <c r="E173" t="s">
        <v>30</v>
      </c>
      <c r="F173" t="s">
        <v>15</v>
      </c>
      <c r="G173">
        <v>3615</v>
      </c>
      <c r="H173">
        <v>492</v>
      </c>
      <c r="I173">
        <v>53</v>
      </c>
      <c r="J173" s="5">
        <v>5088</v>
      </c>
      <c r="K173" s="4">
        <v>1156</v>
      </c>
      <c r="L173" s="6">
        <v>45712</v>
      </c>
      <c r="M173" s="7">
        <f t="shared" si="6"/>
        <v>0.13609958506224065</v>
      </c>
      <c r="N173" s="7">
        <f t="shared" si="7"/>
        <v>0.10772357723577236</v>
      </c>
      <c r="O173" s="7">
        <f t="shared" si="8"/>
        <v>3.4013840830449826</v>
      </c>
    </row>
    <row r="174" spans="1:15" x14ac:dyDescent="0.35">
      <c r="A174">
        <v>173</v>
      </c>
      <c r="B174">
        <v>40</v>
      </c>
      <c r="C174" t="s">
        <v>19</v>
      </c>
      <c r="D174" t="s">
        <v>13</v>
      </c>
      <c r="E174" t="s">
        <v>25</v>
      </c>
      <c r="F174" t="s">
        <v>31</v>
      </c>
      <c r="G174">
        <v>4607</v>
      </c>
      <c r="H174">
        <v>367</v>
      </c>
      <c r="I174">
        <v>12</v>
      </c>
      <c r="J174" s="5">
        <v>1920</v>
      </c>
      <c r="K174" s="4">
        <v>860</v>
      </c>
      <c r="L174" s="6">
        <v>45775</v>
      </c>
      <c r="M174" s="7">
        <f t="shared" si="6"/>
        <v>7.9661384849142605E-2</v>
      </c>
      <c r="N174" s="7">
        <f t="shared" si="7"/>
        <v>3.2697547683923703E-2</v>
      </c>
      <c r="O174" s="7">
        <f t="shared" si="8"/>
        <v>1.2325581395348837</v>
      </c>
    </row>
    <row r="175" spans="1:15" x14ac:dyDescent="0.35">
      <c r="A175">
        <v>174</v>
      </c>
      <c r="B175">
        <v>29</v>
      </c>
      <c r="C175" t="s">
        <v>12</v>
      </c>
      <c r="D175" t="s">
        <v>16</v>
      </c>
      <c r="E175" t="s">
        <v>21</v>
      </c>
      <c r="F175" t="s">
        <v>18</v>
      </c>
      <c r="G175">
        <v>1209</v>
      </c>
      <c r="H175">
        <v>249</v>
      </c>
      <c r="I175">
        <v>29</v>
      </c>
      <c r="J175" s="5">
        <v>4872</v>
      </c>
      <c r="K175" s="4">
        <v>665</v>
      </c>
      <c r="L175" s="6">
        <v>45762</v>
      </c>
      <c r="M175" s="7">
        <f t="shared" si="6"/>
        <v>0.20595533498759305</v>
      </c>
      <c r="N175" s="7">
        <f t="shared" si="7"/>
        <v>0.11646586345381527</v>
      </c>
      <c r="O175" s="7">
        <f t="shared" si="8"/>
        <v>6.3263157894736839</v>
      </c>
    </row>
    <row r="176" spans="1:15" x14ac:dyDescent="0.35">
      <c r="A176">
        <v>175</v>
      </c>
      <c r="B176">
        <v>34</v>
      </c>
      <c r="C176" t="s">
        <v>19</v>
      </c>
      <c r="D176" t="s">
        <v>20</v>
      </c>
      <c r="E176" t="s">
        <v>14</v>
      </c>
      <c r="F176" t="s">
        <v>22</v>
      </c>
      <c r="G176">
        <v>546</v>
      </c>
      <c r="H176">
        <v>337</v>
      </c>
      <c r="I176">
        <v>14</v>
      </c>
      <c r="J176" s="5">
        <v>2100</v>
      </c>
      <c r="K176" s="4">
        <v>1239</v>
      </c>
      <c r="L176" s="6">
        <v>45683</v>
      </c>
      <c r="M176" s="7">
        <f t="shared" si="6"/>
        <v>0.61721611721611724</v>
      </c>
      <c r="N176" s="7">
        <f t="shared" si="7"/>
        <v>4.1543026706231452E-2</v>
      </c>
      <c r="O176" s="7">
        <f t="shared" si="8"/>
        <v>0.69491525423728817</v>
      </c>
    </row>
    <row r="177" spans="1:15" x14ac:dyDescent="0.35">
      <c r="A177">
        <v>176</v>
      </c>
      <c r="B177">
        <v>24</v>
      </c>
      <c r="C177" t="s">
        <v>19</v>
      </c>
      <c r="D177" t="s">
        <v>16</v>
      </c>
      <c r="E177" t="s">
        <v>30</v>
      </c>
      <c r="F177" t="s">
        <v>31</v>
      </c>
      <c r="G177">
        <v>3657</v>
      </c>
      <c r="H177">
        <v>299</v>
      </c>
      <c r="I177">
        <v>11</v>
      </c>
      <c r="J177" s="5">
        <v>2156</v>
      </c>
      <c r="K177" s="4">
        <v>534</v>
      </c>
      <c r="L177" s="6">
        <v>45772</v>
      </c>
      <c r="M177" s="7">
        <f t="shared" si="6"/>
        <v>8.1761006289308172E-2</v>
      </c>
      <c r="N177" s="7">
        <f t="shared" si="7"/>
        <v>3.678929765886288E-2</v>
      </c>
      <c r="O177" s="7">
        <f t="shared" si="8"/>
        <v>3.0374531835205993</v>
      </c>
    </row>
    <row r="178" spans="1:15" x14ac:dyDescent="0.35">
      <c r="A178">
        <v>177</v>
      </c>
      <c r="B178">
        <v>34</v>
      </c>
      <c r="C178" t="s">
        <v>12</v>
      </c>
      <c r="D178" t="s">
        <v>20</v>
      </c>
      <c r="E178" t="s">
        <v>17</v>
      </c>
      <c r="F178" t="s">
        <v>22</v>
      </c>
      <c r="G178">
        <v>2021</v>
      </c>
      <c r="H178">
        <v>364</v>
      </c>
      <c r="I178">
        <v>43</v>
      </c>
      <c r="J178" s="5">
        <v>4171</v>
      </c>
      <c r="K178" s="4">
        <v>1194</v>
      </c>
      <c r="L178" s="6">
        <v>45756</v>
      </c>
      <c r="M178" s="7">
        <f t="shared" si="6"/>
        <v>0.18010885700148441</v>
      </c>
      <c r="N178" s="7">
        <f t="shared" si="7"/>
        <v>0.11813186813186813</v>
      </c>
      <c r="O178" s="7">
        <f t="shared" si="8"/>
        <v>2.4932998324958122</v>
      </c>
    </row>
    <row r="179" spans="1:15" x14ac:dyDescent="0.35">
      <c r="A179">
        <v>178</v>
      </c>
      <c r="B179">
        <v>54</v>
      </c>
      <c r="C179" t="s">
        <v>12</v>
      </c>
      <c r="D179" t="s">
        <v>23</v>
      </c>
      <c r="E179" t="s">
        <v>17</v>
      </c>
      <c r="F179" t="s">
        <v>15</v>
      </c>
      <c r="G179">
        <v>3167</v>
      </c>
      <c r="H179">
        <v>237</v>
      </c>
      <c r="I179">
        <v>49</v>
      </c>
      <c r="J179" s="5">
        <v>4018</v>
      </c>
      <c r="K179" s="4">
        <v>1321</v>
      </c>
      <c r="L179" s="6">
        <v>45747</v>
      </c>
      <c r="M179" s="7">
        <f t="shared" si="6"/>
        <v>7.4834227976002532E-2</v>
      </c>
      <c r="N179" s="7">
        <f t="shared" si="7"/>
        <v>0.20675105485232068</v>
      </c>
      <c r="O179" s="7">
        <f t="shared" si="8"/>
        <v>2.0416351249053748</v>
      </c>
    </row>
    <row r="180" spans="1:15" x14ac:dyDescent="0.35">
      <c r="A180">
        <v>179</v>
      </c>
      <c r="B180">
        <v>21</v>
      </c>
      <c r="C180" t="s">
        <v>12</v>
      </c>
      <c r="D180" t="s">
        <v>27</v>
      </c>
      <c r="E180" t="s">
        <v>28</v>
      </c>
      <c r="F180" t="s">
        <v>31</v>
      </c>
      <c r="G180">
        <v>4778</v>
      </c>
      <c r="H180">
        <v>413</v>
      </c>
      <c r="I180">
        <v>43</v>
      </c>
      <c r="J180" s="5">
        <v>8557</v>
      </c>
      <c r="K180" s="4">
        <v>1750</v>
      </c>
      <c r="L180" s="6">
        <v>45682</v>
      </c>
      <c r="M180" s="7">
        <f t="shared" si="6"/>
        <v>8.6437840100460447E-2</v>
      </c>
      <c r="N180" s="7">
        <f t="shared" si="7"/>
        <v>0.10411622276029056</v>
      </c>
      <c r="O180" s="7">
        <f t="shared" si="8"/>
        <v>3.8897142857142857</v>
      </c>
    </row>
    <row r="181" spans="1:15" x14ac:dyDescent="0.35">
      <c r="A181">
        <v>180</v>
      </c>
      <c r="B181">
        <v>19</v>
      </c>
      <c r="C181" t="s">
        <v>12</v>
      </c>
      <c r="D181" t="s">
        <v>23</v>
      </c>
      <c r="E181" t="s">
        <v>14</v>
      </c>
      <c r="F181" t="s">
        <v>18</v>
      </c>
      <c r="G181">
        <v>3269</v>
      </c>
      <c r="H181">
        <v>210</v>
      </c>
      <c r="I181">
        <v>20</v>
      </c>
      <c r="J181" s="5">
        <v>2420</v>
      </c>
      <c r="K181" s="4">
        <v>692</v>
      </c>
      <c r="L181" s="6">
        <v>45756</v>
      </c>
      <c r="M181" s="7">
        <f t="shared" si="6"/>
        <v>6.4239828693790149E-2</v>
      </c>
      <c r="N181" s="7">
        <f t="shared" si="7"/>
        <v>9.5238095238095233E-2</v>
      </c>
      <c r="O181" s="7">
        <f t="shared" si="8"/>
        <v>2.4971098265895955</v>
      </c>
    </row>
    <row r="182" spans="1:15" x14ac:dyDescent="0.35">
      <c r="A182">
        <v>181</v>
      </c>
      <c r="B182">
        <v>30</v>
      </c>
      <c r="C182" t="s">
        <v>12</v>
      </c>
      <c r="D182" t="s">
        <v>26</v>
      </c>
      <c r="E182" t="s">
        <v>33</v>
      </c>
      <c r="F182" t="s">
        <v>18</v>
      </c>
      <c r="G182">
        <v>3741</v>
      </c>
      <c r="H182">
        <v>83</v>
      </c>
      <c r="I182">
        <v>34</v>
      </c>
      <c r="J182" s="5">
        <v>6732</v>
      </c>
      <c r="K182" s="4">
        <v>450</v>
      </c>
      <c r="L182" s="6">
        <v>45689</v>
      </c>
      <c r="M182" s="7">
        <f t="shared" si="6"/>
        <v>2.2186581128040631E-2</v>
      </c>
      <c r="N182" s="7">
        <f t="shared" si="7"/>
        <v>0.40963855421686746</v>
      </c>
      <c r="O182" s="7">
        <f t="shared" si="8"/>
        <v>13.96</v>
      </c>
    </row>
    <row r="183" spans="1:15" x14ac:dyDescent="0.35">
      <c r="A183">
        <v>182</v>
      </c>
      <c r="B183">
        <v>46</v>
      </c>
      <c r="C183" t="s">
        <v>19</v>
      </c>
      <c r="D183" t="s">
        <v>16</v>
      </c>
      <c r="E183" t="s">
        <v>34</v>
      </c>
      <c r="F183" t="s">
        <v>22</v>
      </c>
      <c r="G183">
        <v>4310</v>
      </c>
      <c r="H183">
        <v>428</v>
      </c>
      <c r="I183">
        <v>43</v>
      </c>
      <c r="J183" s="5">
        <v>8385</v>
      </c>
      <c r="K183" s="4">
        <v>1013</v>
      </c>
      <c r="L183" s="6">
        <v>45750</v>
      </c>
      <c r="M183" s="7">
        <f t="shared" si="6"/>
        <v>9.9303944315545248E-2</v>
      </c>
      <c r="N183" s="7">
        <f t="shared" si="7"/>
        <v>0.10046728971962617</v>
      </c>
      <c r="O183" s="7">
        <f t="shared" si="8"/>
        <v>7.277393879565647</v>
      </c>
    </row>
    <row r="184" spans="1:15" x14ac:dyDescent="0.35">
      <c r="A184">
        <v>183</v>
      </c>
      <c r="B184">
        <v>27</v>
      </c>
      <c r="C184" t="s">
        <v>12</v>
      </c>
      <c r="D184" t="s">
        <v>23</v>
      </c>
      <c r="E184" t="s">
        <v>30</v>
      </c>
      <c r="F184" t="s">
        <v>15</v>
      </c>
      <c r="G184">
        <v>4913</v>
      </c>
      <c r="H184">
        <v>294</v>
      </c>
      <c r="I184">
        <v>61</v>
      </c>
      <c r="J184" s="5">
        <v>8235</v>
      </c>
      <c r="K184" s="4">
        <v>471</v>
      </c>
      <c r="L184" s="6">
        <v>45760</v>
      </c>
      <c r="M184" s="7">
        <f t="shared" si="6"/>
        <v>5.9841237533075513E-2</v>
      </c>
      <c r="N184" s="7">
        <f t="shared" si="7"/>
        <v>0.20748299319727892</v>
      </c>
      <c r="O184" s="7">
        <f t="shared" si="8"/>
        <v>16.484076433121018</v>
      </c>
    </row>
    <row r="185" spans="1:15" x14ac:dyDescent="0.35">
      <c r="A185">
        <v>184</v>
      </c>
      <c r="B185">
        <v>31</v>
      </c>
      <c r="C185" t="s">
        <v>12</v>
      </c>
      <c r="D185" t="s">
        <v>13</v>
      </c>
      <c r="E185" t="s">
        <v>17</v>
      </c>
      <c r="F185" t="s">
        <v>22</v>
      </c>
      <c r="G185">
        <v>4935</v>
      </c>
      <c r="H185">
        <v>438</v>
      </c>
      <c r="I185">
        <v>69</v>
      </c>
      <c r="J185" s="5">
        <v>5658</v>
      </c>
      <c r="K185" s="4">
        <v>1912</v>
      </c>
      <c r="L185" s="6">
        <v>45687</v>
      </c>
      <c r="M185" s="7">
        <f t="shared" si="6"/>
        <v>8.8753799392097266E-2</v>
      </c>
      <c r="N185" s="7">
        <f t="shared" si="7"/>
        <v>0.15753424657534246</v>
      </c>
      <c r="O185" s="7">
        <f t="shared" si="8"/>
        <v>1.9592050209205021</v>
      </c>
    </row>
    <row r="186" spans="1:15" x14ac:dyDescent="0.35">
      <c r="A186">
        <v>185</v>
      </c>
      <c r="B186">
        <v>18</v>
      </c>
      <c r="C186" t="s">
        <v>19</v>
      </c>
      <c r="D186" t="s">
        <v>16</v>
      </c>
      <c r="E186" t="s">
        <v>25</v>
      </c>
      <c r="F186" t="s">
        <v>22</v>
      </c>
      <c r="G186">
        <v>2533</v>
      </c>
      <c r="H186">
        <v>373</v>
      </c>
      <c r="I186">
        <v>22</v>
      </c>
      <c r="J186" s="5">
        <v>2288</v>
      </c>
      <c r="K186" s="4">
        <v>492</v>
      </c>
      <c r="L186" s="6">
        <v>45767</v>
      </c>
      <c r="M186" s="7">
        <f t="shared" si="6"/>
        <v>0.14725621792341098</v>
      </c>
      <c r="N186" s="7">
        <f t="shared" si="7"/>
        <v>5.8981233243967826E-2</v>
      </c>
      <c r="O186" s="7">
        <f t="shared" si="8"/>
        <v>3.6504065040650406</v>
      </c>
    </row>
    <row r="187" spans="1:15" x14ac:dyDescent="0.35">
      <c r="A187">
        <v>186</v>
      </c>
      <c r="B187">
        <v>29</v>
      </c>
      <c r="C187" t="s">
        <v>12</v>
      </c>
      <c r="D187" t="s">
        <v>26</v>
      </c>
      <c r="E187" t="s">
        <v>21</v>
      </c>
      <c r="F187" t="s">
        <v>22</v>
      </c>
      <c r="G187">
        <v>3132</v>
      </c>
      <c r="H187">
        <v>448</v>
      </c>
      <c r="I187">
        <v>53</v>
      </c>
      <c r="J187" s="5">
        <v>7791</v>
      </c>
      <c r="K187" s="4">
        <v>1567</v>
      </c>
      <c r="L187" s="6">
        <v>45694</v>
      </c>
      <c r="M187" s="7">
        <f t="shared" si="6"/>
        <v>0.14303959131545338</v>
      </c>
      <c r="N187" s="7">
        <f t="shared" si="7"/>
        <v>0.11830357142857142</v>
      </c>
      <c r="O187" s="7">
        <f t="shared" si="8"/>
        <v>3.9719208679004465</v>
      </c>
    </row>
    <row r="188" spans="1:15" x14ac:dyDescent="0.35">
      <c r="A188">
        <v>187</v>
      </c>
      <c r="B188">
        <v>41</v>
      </c>
      <c r="C188" t="s">
        <v>19</v>
      </c>
      <c r="D188" t="s">
        <v>16</v>
      </c>
      <c r="E188" t="s">
        <v>33</v>
      </c>
      <c r="F188" t="s">
        <v>15</v>
      </c>
      <c r="G188">
        <v>2608</v>
      </c>
      <c r="H188">
        <v>476</v>
      </c>
      <c r="I188">
        <v>74</v>
      </c>
      <c r="J188" s="5">
        <v>9990</v>
      </c>
      <c r="K188" s="4">
        <v>1006</v>
      </c>
      <c r="L188" s="6">
        <v>45682</v>
      </c>
      <c r="M188" s="7">
        <f t="shared" si="6"/>
        <v>0.18251533742331288</v>
      </c>
      <c r="N188" s="7">
        <f t="shared" si="7"/>
        <v>0.15546218487394958</v>
      </c>
      <c r="O188" s="7">
        <f t="shared" si="8"/>
        <v>8.9304174950298219</v>
      </c>
    </row>
    <row r="189" spans="1:15" x14ac:dyDescent="0.35">
      <c r="A189">
        <v>188</v>
      </c>
      <c r="B189">
        <v>43</v>
      </c>
      <c r="C189" t="s">
        <v>19</v>
      </c>
      <c r="D189" t="s">
        <v>20</v>
      </c>
      <c r="E189" t="s">
        <v>30</v>
      </c>
      <c r="F189" t="s">
        <v>31</v>
      </c>
      <c r="G189">
        <v>1384</v>
      </c>
      <c r="H189">
        <v>292</v>
      </c>
      <c r="I189">
        <v>78</v>
      </c>
      <c r="J189" s="5">
        <v>13806</v>
      </c>
      <c r="K189" s="4">
        <v>1330</v>
      </c>
      <c r="L189" s="6">
        <v>45770</v>
      </c>
      <c r="M189" s="7">
        <f t="shared" si="6"/>
        <v>0.21098265895953758</v>
      </c>
      <c r="N189" s="7">
        <f t="shared" si="7"/>
        <v>0.26712328767123289</v>
      </c>
      <c r="O189" s="7">
        <f t="shared" si="8"/>
        <v>9.3804511278195495</v>
      </c>
    </row>
    <row r="190" spans="1:15" x14ac:dyDescent="0.35">
      <c r="A190">
        <v>189</v>
      </c>
      <c r="B190">
        <v>40</v>
      </c>
      <c r="C190" t="s">
        <v>19</v>
      </c>
      <c r="D190" t="s">
        <v>27</v>
      </c>
      <c r="E190" t="s">
        <v>34</v>
      </c>
      <c r="F190" t="s">
        <v>22</v>
      </c>
      <c r="G190">
        <v>3053</v>
      </c>
      <c r="H190">
        <v>308</v>
      </c>
      <c r="I190">
        <v>10</v>
      </c>
      <c r="J190" s="5">
        <v>840</v>
      </c>
      <c r="K190" s="4">
        <v>1740</v>
      </c>
      <c r="L190" s="6">
        <v>45666</v>
      </c>
      <c r="M190" s="7">
        <f t="shared" si="6"/>
        <v>0.10088437602358336</v>
      </c>
      <c r="N190" s="7">
        <f t="shared" si="7"/>
        <v>3.2467532467532464E-2</v>
      </c>
      <c r="O190" s="7">
        <f t="shared" si="8"/>
        <v>-0.51724137931034486</v>
      </c>
    </row>
    <row r="191" spans="1:15" x14ac:dyDescent="0.35">
      <c r="A191">
        <v>190</v>
      </c>
      <c r="B191">
        <v>35</v>
      </c>
      <c r="C191" t="s">
        <v>12</v>
      </c>
      <c r="D191" t="s">
        <v>26</v>
      </c>
      <c r="E191" t="s">
        <v>34</v>
      </c>
      <c r="F191" t="s">
        <v>15</v>
      </c>
      <c r="G191">
        <v>3670</v>
      </c>
      <c r="H191">
        <v>69</v>
      </c>
      <c r="I191">
        <v>65</v>
      </c>
      <c r="J191" s="5">
        <v>7410</v>
      </c>
      <c r="K191" s="4">
        <v>1713</v>
      </c>
      <c r="L191" s="6">
        <v>45745</v>
      </c>
      <c r="M191" s="7">
        <f t="shared" si="6"/>
        <v>1.8801089918256131E-2</v>
      </c>
      <c r="N191" s="7">
        <f t="shared" si="7"/>
        <v>0.94202898550724634</v>
      </c>
      <c r="O191" s="7">
        <f t="shared" si="8"/>
        <v>3.3257443082311733</v>
      </c>
    </row>
    <row r="192" spans="1:15" x14ac:dyDescent="0.35">
      <c r="A192">
        <v>191</v>
      </c>
      <c r="B192">
        <v>42</v>
      </c>
      <c r="C192" t="s">
        <v>19</v>
      </c>
      <c r="D192" t="s">
        <v>16</v>
      </c>
      <c r="E192" t="s">
        <v>30</v>
      </c>
      <c r="F192" t="s">
        <v>18</v>
      </c>
      <c r="G192">
        <v>502</v>
      </c>
      <c r="H192">
        <v>209</v>
      </c>
      <c r="I192">
        <v>17</v>
      </c>
      <c r="J192" s="5">
        <v>3230</v>
      </c>
      <c r="K192" s="4">
        <v>1343</v>
      </c>
      <c r="L192" s="6">
        <v>45725</v>
      </c>
      <c r="M192" s="7">
        <f t="shared" si="6"/>
        <v>0.41633466135458169</v>
      </c>
      <c r="N192" s="7">
        <f t="shared" si="7"/>
        <v>8.1339712918660281E-2</v>
      </c>
      <c r="O192" s="7">
        <f t="shared" si="8"/>
        <v>1.4050632911392404</v>
      </c>
    </row>
    <row r="193" spans="1:15" x14ac:dyDescent="0.35">
      <c r="A193">
        <v>192</v>
      </c>
      <c r="B193">
        <v>20</v>
      </c>
      <c r="C193" t="s">
        <v>19</v>
      </c>
      <c r="D193" t="s">
        <v>27</v>
      </c>
      <c r="E193" t="s">
        <v>30</v>
      </c>
      <c r="F193" t="s">
        <v>18</v>
      </c>
      <c r="G193">
        <v>2433</v>
      </c>
      <c r="H193">
        <v>406</v>
      </c>
      <c r="I193">
        <v>15</v>
      </c>
      <c r="J193" s="5">
        <v>2025</v>
      </c>
      <c r="K193" s="4">
        <v>1840</v>
      </c>
      <c r="L193" s="6">
        <v>45724</v>
      </c>
      <c r="M193" s="7">
        <f t="shared" si="6"/>
        <v>0.16687217427044801</v>
      </c>
      <c r="N193" s="7">
        <f t="shared" si="7"/>
        <v>3.6945812807881777E-2</v>
      </c>
      <c r="O193" s="7">
        <f t="shared" si="8"/>
        <v>0.10054347826086957</v>
      </c>
    </row>
    <row r="194" spans="1:15" x14ac:dyDescent="0.35">
      <c r="A194">
        <v>193</v>
      </c>
      <c r="B194">
        <v>42</v>
      </c>
      <c r="C194" t="s">
        <v>12</v>
      </c>
      <c r="D194" t="s">
        <v>27</v>
      </c>
      <c r="E194" t="s">
        <v>25</v>
      </c>
      <c r="F194" t="s">
        <v>29</v>
      </c>
      <c r="G194">
        <v>1855</v>
      </c>
      <c r="H194">
        <v>219</v>
      </c>
      <c r="I194">
        <v>13</v>
      </c>
      <c r="J194" s="5">
        <v>1547</v>
      </c>
      <c r="K194" s="4">
        <v>1686</v>
      </c>
      <c r="L194" s="6">
        <v>45668</v>
      </c>
      <c r="M194" s="7">
        <f t="shared" si="6"/>
        <v>0.11805929919137466</v>
      </c>
      <c r="N194" s="7">
        <f t="shared" si="7"/>
        <v>5.9360730593607303E-2</v>
      </c>
      <c r="O194" s="7">
        <f t="shared" si="8"/>
        <v>-8.244365361803084E-2</v>
      </c>
    </row>
    <row r="195" spans="1:15" x14ac:dyDescent="0.35">
      <c r="A195">
        <v>194</v>
      </c>
      <c r="B195">
        <v>43</v>
      </c>
      <c r="C195" t="s">
        <v>19</v>
      </c>
      <c r="D195" t="s">
        <v>13</v>
      </c>
      <c r="E195" t="s">
        <v>33</v>
      </c>
      <c r="F195" t="s">
        <v>31</v>
      </c>
      <c r="G195">
        <v>1454</v>
      </c>
      <c r="H195">
        <v>275</v>
      </c>
      <c r="I195">
        <v>42</v>
      </c>
      <c r="J195" s="5">
        <v>3528</v>
      </c>
      <c r="K195" s="4">
        <v>527</v>
      </c>
      <c r="L195" s="6">
        <v>45727</v>
      </c>
      <c r="M195" s="7">
        <f t="shared" ref="M195:M258" si="9">H195/G195</f>
        <v>0.1891334250343879</v>
      </c>
      <c r="N195" s="7">
        <f t="shared" ref="N195:N258" si="10">I195/H195</f>
        <v>0.15272727272727274</v>
      </c>
      <c r="O195" s="7">
        <f t="shared" ref="O195:O258" si="11">(J195-K195)/K195</f>
        <v>5.6944971537001896</v>
      </c>
    </row>
    <row r="196" spans="1:15" x14ac:dyDescent="0.35">
      <c r="A196">
        <v>195</v>
      </c>
      <c r="B196">
        <v>22</v>
      </c>
      <c r="C196" t="s">
        <v>12</v>
      </c>
      <c r="D196" t="s">
        <v>27</v>
      </c>
      <c r="E196" t="s">
        <v>34</v>
      </c>
      <c r="F196" t="s">
        <v>15</v>
      </c>
      <c r="G196">
        <v>536</v>
      </c>
      <c r="H196">
        <v>365</v>
      </c>
      <c r="I196">
        <v>52</v>
      </c>
      <c r="J196" s="5">
        <v>5564</v>
      </c>
      <c r="K196" s="4">
        <v>1172</v>
      </c>
      <c r="L196" s="6">
        <v>45771</v>
      </c>
      <c r="M196" s="7">
        <f t="shared" si="9"/>
        <v>0.68097014925373134</v>
      </c>
      <c r="N196" s="7">
        <f t="shared" si="10"/>
        <v>0.14246575342465753</v>
      </c>
      <c r="O196" s="7">
        <f t="shared" si="11"/>
        <v>3.7474402730375425</v>
      </c>
    </row>
    <row r="197" spans="1:15" x14ac:dyDescent="0.35">
      <c r="A197">
        <v>196</v>
      </c>
      <c r="B197">
        <v>20</v>
      </c>
      <c r="C197" t="s">
        <v>12</v>
      </c>
      <c r="D197" t="s">
        <v>26</v>
      </c>
      <c r="E197" t="s">
        <v>17</v>
      </c>
      <c r="F197" t="s">
        <v>22</v>
      </c>
      <c r="G197">
        <v>3611</v>
      </c>
      <c r="H197">
        <v>350</v>
      </c>
      <c r="I197">
        <v>66</v>
      </c>
      <c r="J197" s="5">
        <v>12804</v>
      </c>
      <c r="K197" s="4">
        <v>548</v>
      </c>
      <c r="L197" s="6">
        <v>45697</v>
      </c>
      <c r="M197" s="7">
        <f t="shared" si="9"/>
        <v>9.6926059263361952E-2</v>
      </c>
      <c r="N197" s="7">
        <f t="shared" si="10"/>
        <v>0.18857142857142858</v>
      </c>
      <c r="O197" s="7">
        <f t="shared" si="11"/>
        <v>22.364963503649633</v>
      </c>
    </row>
    <row r="198" spans="1:15" x14ac:dyDescent="0.35">
      <c r="A198">
        <v>197</v>
      </c>
      <c r="B198">
        <v>36</v>
      </c>
      <c r="C198" t="s">
        <v>19</v>
      </c>
      <c r="D198" t="s">
        <v>13</v>
      </c>
      <c r="E198" t="s">
        <v>17</v>
      </c>
      <c r="F198" t="s">
        <v>18</v>
      </c>
      <c r="G198">
        <v>4430</v>
      </c>
      <c r="H198">
        <v>286</v>
      </c>
      <c r="I198">
        <v>37</v>
      </c>
      <c r="J198" s="5">
        <v>6179</v>
      </c>
      <c r="K198" s="4">
        <v>1485</v>
      </c>
      <c r="L198" s="6">
        <v>45749</v>
      </c>
      <c r="M198" s="7">
        <f t="shared" si="9"/>
        <v>6.4559819413092551E-2</v>
      </c>
      <c r="N198" s="7">
        <f t="shared" si="10"/>
        <v>0.12937062937062938</v>
      </c>
      <c r="O198" s="7">
        <f t="shared" si="11"/>
        <v>3.1609427609427607</v>
      </c>
    </row>
    <row r="199" spans="1:15" x14ac:dyDescent="0.35">
      <c r="A199">
        <v>198</v>
      </c>
      <c r="B199">
        <v>53</v>
      </c>
      <c r="C199" t="s">
        <v>19</v>
      </c>
      <c r="D199" t="s">
        <v>27</v>
      </c>
      <c r="E199" t="s">
        <v>28</v>
      </c>
      <c r="F199" t="s">
        <v>15</v>
      </c>
      <c r="G199">
        <v>2204</v>
      </c>
      <c r="H199">
        <v>318</v>
      </c>
      <c r="I199">
        <v>49</v>
      </c>
      <c r="J199" s="5">
        <v>6468</v>
      </c>
      <c r="K199" s="4">
        <v>1568</v>
      </c>
      <c r="L199" s="6">
        <v>45717</v>
      </c>
      <c r="M199" s="7">
        <f t="shared" si="9"/>
        <v>0.14428312159709619</v>
      </c>
      <c r="N199" s="7">
        <f t="shared" si="10"/>
        <v>0.1540880503144654</v>
      </c>
      <c r="O199" s="7">
        <f t="shared" si="11"/>
        <v>3.125</v>
      </c>
    </row>
    <row r="200" spans="1:15" x14ac:dyDescent="0.35">
      <c r="A200">
        <v>199</v>
      </c>
      <c r="B200">
        <v>27</v>
      </c>
      <c r="C200" t="s">
        <v>12</v>
      </c>
      <c r="D200" t="s">
        <v>13</v>
      </c>
      <c r="E200" t="s">
        <v>25</v>
      </c>
      <c r="F200" t="s">
        <v>31</v>
      </c>
      <c r="G200">
        <v>1056</v>
      </c>
      <c r="H200">
        <v>363</v>
      </c>
      <c r="I200">
        <v>35</v>
      </c>
      <c r="J200" s="5">
        <v>4235</v>
      </c>
      <c r="K200" s="4">
        <v>734</v>
      </c>
      <c r="L200" s="6">
        <v>45687</v>
      </c>
      <c r="M200" s="7">
        <f t="shared" si="9"/>
        <v>0.34375</v>
      </c>
      <c r="N200" s="7">
        <f t="shared" si="10"/>
        <v>9.6418732782369149E-2</v>
      </c>
      <c r="O200" s="7">
        <f t="shared" si="11"/>
        <v>4.7697547683923709</v>
      </c>
    </row>
    <row r="201" spans="1:15" x14ac:dyDescent="0.35">
      <c r="A201">
        <v>200</v>
      </c>
      <c r="B201">
        <v>46</v>
      </c>
      <c r="C201" t="s">
        <v>12</v>
      </c>
      <c r="D201" t="s">
        <v>13</v>
      </c>
      <c r="E201" t="s">
        <v>14</v>
      </c>
      <c r="F201" t="s">
        <v>18</v>
      </c>
      <c r="G201">
        <v>2074</v>
      </c>
      <c r="H201">
        <v>464</v>
      </c>
      <c r="I201">
        <v>6</v>
      </c>
      <c r="J201" s="5">
        <v>936</v>
      </c>
      <c r="K201" s="4">
        <v>1941</v>
      </c>
      <c r="L201" s="6">
        <v>45723</v>
      </c>
      <c r="M201" s="7">
        <f t="shared" si="9"/>
        <v>0.22372227579556414</v>
      </c>
      <c r="N201" s="7">
        <f t="shared" si="10"/>
        <v>1.2931034482758621E-2</v>
      </c>
      <c r="O201" s="7">
        <f t="shared" si="11"/>
        <v>-0.51777434312210202</v>
      </c>
    </row>
    <row r="202" spans="1:15" x14ac:dyDescent="0.35">
      <c r="A202">
        <v>201</v>
      </c>
      <c r="B202">
        <v>51</v>
      </c>
      <c r="C202" t="s">
        <v>12</v>
      </c>
      <c r="D202" t="s">
        <v>27</v>
      </c>
      <c r="E202" t="s">
        <v>17</v>
      </c>
      <c r="F202" t="s">
        <v>29</v>
      </c>
      <c r="G202">
        <v>3617</v>
      </c>
      <c r="H202">
        <v>204</v>
      </c>
      <c r="I202">
        <v>21</v>
      </c>
      <c r="J202" s="5">
        <v>3654</v>
      </c>
      <c r="K202" s="4">
        <v>559</v>
      </c>
      <c r="L202" s="6">
        <v>45766</v>
      </c>
      <c r="M202" s="7">
        <f t="shared" si="9"/>
        <v>5.6400331766657451E-2</v>
      </c>
      <c r="N202" s="7">
        <f t="shared" si="10"/>
        <v>0.10294117647058823</v>
      </c>
      <c r="O202" s="7">
        <f t="shared" si="11"/>
        <v>5.5366726296958859</v>
      </c>
    </row>
    <row r="203" spans="1:15" x14ac:dyDescent="0.35">
      <c r="A203">
        <v>202</v>
      </c>
      <c r="B203">
        <v>49</v>
      </c>
      <c r="C203" t="s">
        <v>12</v>
      </c>
      <c r="D203" t="s">
        <v>20</v>
      </c>
      <c r="E203" t="s">
        <v>33</v>
      </c>
      <c r="F203" t="s">
        <v>31</v>
      </c>
      <c r="G203">
        <v>1507</v>
      </c>
      <c r="H203">
        <v>375</v>
      </c>
      <c r="I203">
        <v>34</v>
      </c>
      <c r="J203" s="5">
        <v>5202</v>
      </c>
      <c r="K203" s="4">
        <v>1678</v>
      </c>
      <c r="L203" s="6">
        <v>45720</v>
      </c>
      <c r="M203" s="7">
        <f t="shared" si="9"/>
        <v>0.24883875248838752</v>
      </c>
      <c r="N203" s="7">
        <f t="shared" si="10"/>
        <v>9.0666666666666673E-2</v>
      </c>
      <c r="O203" s="7">
        <f t="shared" si="11"/>
        <v>2.1001191895113229</v>
      </c>
    </row>
    <row r="204" spans="1:15" x14ac:dyDescent="0.35">
      <c r="A204">
        <v>203</v>
      </c>
      <c r="B204">
        <v>21</v>
      </c>
      <c r="C204" t="s">
        <v>12</v>
      </c>
      <c r="D204" t="s">
        <v>16</v>
      </c>
      <c r="E204" t="s">
        <v>32</v>
      </c>
      <c r="F204" t="s">
        <v>22</v>
      </c>
      <c r="G204">
        <v>1935</v>
      </c>
      <c r="H204">
        <v>109</v>
      </c>
      <c r="I204">
        <v>41</v>
      </c>
      <c r="J204" s="5">
        <v>4141</v>
      </c>
      <c r="K204" s="4">
        <v>1188</v>
      </c>
      <c r="L204" s="6">
        <v>45753</v>
      </c>
      <c r="M204" s="7">
        <f t="shared" si="9"/>
        <v>5.6330749354005165E-2</v>
      </c>
      <c r="N204" s="7">
        <f t="shared" si="10"/>
        <v>0.37614678899082571</v>
      </c>
      <c r="O204" s="7">
        <f t="shared" si="11"/>
        <v>2.4856902356902357</v>
      </c>
    </row>
    <row r="205" spans="1:15" x14ac:dyDescent="0.35">
      <c r="A205">
        <v>204</v>
      </c>
      <c r="B205">
        <v>39</v>
      </c>
      <c r="C205" t="s">
        <v>19</v>
      </c>
      <c r="D205" t="s">
        <v>27</v>
      </c>
      <c r="E205" t="s">
        <v>34</v>
      </c>
      <c r="F205" t="s">
        <v>22</v>
      </c>
      <c r="G205">
        <v>1765</v>
      </c>
      <c r="H205">
        <v>373</v>
      </c>
      <c r="I205">
        <v>68</v>
      </c>
      <c r="J205" s="5">
        <v>6188</v>
      </c>
      <c r="K205" s="4">
        <v>1240</v>
      </c>
      <c r="L205" s="6">
        <v>45667</v>
      </c>
      <c r="M205" s="7">
        <f t="shared" si="9"/>
        <v>0.21133144475920679</v>
      </c>
      <c r="N205" s="7">
        <f t="shared" si="10"/>
        <v>0.18230563002680966</v>
      </c>
      <c r="O205" s="7">
        <f t="shared" si="11"/>
        <v>3.9903225806451612</v>
      </c>
    </row>
    <row r="206" spans="1:15" x14ac:dyDescent="0.35">
      <c r="A206">
        <v>205</v>
      </c>
      <c r="B206">
        <v>35</v>
      </c>
      <c r="C206" t="s">
        <v>19</v>
      </c>
      <c r="D206" t="s">
        <v>20</v>
      </c>
      <c r="E206" t="s">
        <v>33</v>
      </c>
      <c r="F206" t="s">
        <v>18</v>
      </c>
      <c r="G206">
        <v>1385</v>
      </c>
      <c r="H206">
        <v>242</v>
      </c>
      <c r="I206">
        <v>26</v>
      </c>
      <c r="J206" s="5">
        <v>5174</v>
      </c>
      <c r="K206" s="4">
        <v>673</v>
      </c>
      <c r="L206" s="6">
        <v>45671</v>
      </c>
      <c r="M206" s="7">
        <f t="shared" si="9"/>
        <v>0.17472924187725633</v>
      </c>
      <c r="N206" s="7">
        <f t="shared" si="10"/>
        <v>0.10743801652892562</v>
      </c>
      <c r="O206" s="7">
        <f t="shared" si="11"/>
        <v>6.6879643387815753</v>
      </c>
    </row>
    <row r="207" spans="1:15" x14ac:dyDescent="0.35">
      <c r="A207">
        <v>206</v>
      </c>
      <c r="B207">
        <v>29</v>
      </c>
      <c r="C207" t="s">
        <v>19</v>
      </c>
      <c r="D207" t="s">
        <v>13</v>
      </c>
      <c r="E207" t="s">
        <v>14</v>
      </c>
      <c r="F207" t="s">
        <v>15</v>
      </c>
      <c r="G207">
        <v>1186</v>
      </c>
      <c r="H207">
        <v>334</v>
      </c>
      <c r="I207">
        <v>40</v>
      </c>
      <c r="J207" s="5">
        <v>7120</v>
      </c>
      <c r="K207" s="4">
        <v>962</v>
      </c>
      <c r="L207" s="6">
        <v>45686</v>
      </c>
      <c r="M207" s="7">
        <f t="shared" si="9"/>
        <v>0.28161888701517707</v>
      </c>
      <c r="N207" s="7">
        <f t="shared" si="10"/>
        <v>0.11976047904191617</v>
      </c>
      <c r="O207" s="7">
        <f t="shared" si="11"/>
        <v>6.4012474012474012</v>
      </c>
    </row>
    <row r="208" spans="1:15" x14ac:dyDescent="0.35">
      <c r="A208">
        <v>207</v>
      </c>
      <c r="B208">
        <v>49</v>
      </c>
      <c r="C208" t="s">
        <v>19</v>
      </c>
      <c r="D208" t="s">
        <v>16</v>
      </c>
      <c r="E208" t="s">
        <v>24</v>
      </c>
      <c r="F208" t="s">
        <v>31</v>
      </c>
      <c r="G208">
        <v>1406</v>
      </c>
      <c r="H208">
        <v>82</v>
      </c>
      <c r="I208">
        <v>10</v>
      </c>
      <c r="J208" s="5">
        <v>1580</v>
      </c>
      <c r="K208" s="4">
        <v>1078</v>
      </c>
      <c r="L208" s="6">
        <v>45732</v>
      </c>
      <c r="M208" s="7">
        <f t="shared" si="9"/>
        <v>5.8321479374110953E-2</v>
      </c>
      <c r="N208" s="7">
        <f t="shared" si="10"/>
        <v>0.12195121951219512</v>
      </c>
      <c r="O208" s="7">
        <f t="shared" si="11"/>
        <v>0.46567717996289426</v>
      </c>
    </row>
    <row r="209" spans="1:15" x14ac:dyDescent="0.35">
      <c r="A209">
        <v>208</v>
      </c>
      <c r="B209">
        <v>52</v>
      </c>
      <c r="C209" t="s">
        <v>12</v>
      </c>
      <c r="D209" t="s">
        <v>13</v>
      </c>
      <c r="E209" t="s">
        <v>30</v>
      </c>
      <c r="F209" t="s">
        <v>22</v>
      </c>
      <c r="G209">
        <v>4109</v>
      </c>
      <c r="H209">
        <v>479</v>
      </c>
      <c r="I209">
        <v>33</v>
      </c>
      <c r="J209" s="5">
        <v>5280</v>
      </c>
      <c r="K209" s="4">
        <v>715</v>
      </c>
      <c r="L209" s="6">
        <v>45696</v>
      </c>
      <c r="M209" s="7">
        <f t="shared" si="9"/>
        <v>0.11657337551715746</v>
      </c>
      <c r="N209" s="7">
        <f t="shared" si="10"/>
        <v>6.889352818371608E-2</v>
      </c>
      <c r="O209" s="7">
        <f t="shared" si="11"/>
        <v>6.384615384615385</v>
      </c>
    </row>
    <row r="210" spans="1:15" x14ac:dyDescent="0.35">
      <c r="A210">
        <v>209</v>
      </c>
      <c r="B210">
        <v>49</v>
      </c>
      <c r="C210" t="s">
        <v>12</v>
      </c>
      <c r="D210" t="s">
        <v>16</v>
      </c>
      <c r="E210" t="s">
        <v>33</v>
      </c>
      <c r="F210" t="s">
        <v>22</v>
      </c>
      <c r="G210">
        <v>3842</v>
      </c>
      <c r="H210">
        <v>424</v>
      </c>
      <c r="I210">
        <v>33</v>
      </c>
      <c r="J210" s="5">
        <v>5082</v>
      </c>
      <c r="K210" s="4">
        <v>356</v>
      </c>
      <c r="L210" s="6">
        <v>45704</v>
      </c>
      <c r="M210" s="7">
        <f t="shared" si="9"/>
        <v>0.11035918792295679</v>
      </c>
      <c r="N210" s="7">
        <f t="shared" si="10"/>
        <v>7.783018867924528E-2</v>
      </c>
      <c r="O210" s="7">
        <f t="shared" si="11"/>
        <v>13.275280898876405</v>
      </c>
    </row>
    <row r="211" spans="1:15" x14ac:dyDescent="0.35">
      <c r="A211">
        <v>210</v>
      </c>
      <c r="B211">
        <v>34</v>
      </c>
      <c r="C211" t="s">
        <v>12</v>
      </c>
      <c r="D211" t="s">
        <v>26</v>
      </c>
      <c r="E211" t="s">
        <v>17</v>
      </c>
      <c r="F211" t="s">
        <v>31</v>
      </c>
      <c r="G211">
        <v>3655</v>
      </c>
      <c r="H211">
        <v>71</v>
      </c>
      <c r="I211">
        <v>79</v>
      </c>
      <c r="J211" s="5">
        <v>11534</v>
      </c>
      <c r="K211" s="4">
        <v>1762</v>
      </c>
      <c r="L211" s="6">
        <v>45749</v>
      </c>
      <c r="M211" s="7">
        <f t="shared" si="9"/>
        <v>1.9425444596443228E-2</v>
      </c>
      <c r="N211" s="7">
        <f t="shared" si="10"/>
        <v>1.1126760563380282</v>
      </c>
      <c r="O211" s="7">
        <f t="shared" si="11"/>
        <v>5.5459704880817249</v>
      </c>
    </row>
    <row r="212" spans="1:15" x14ac:dyDescent="0.35">
      <c r="A212">
        <v>211</v>
      </c>
      <c r="B212">
        <v>37</v>
      </c>
      <c r="C212" t="s">
        <v>12</v>
      </c>
      <c r="D212" t="s">
        <v>20</v>
      </c>
      <c r="E212" t="s">
        <v>28</v>
      </c>
      <c r="F212" t="s">
        <v>15</v>
      </c>
      <c r="G212">
        <v>1488</v>
      </c>
      <c r="H212">
        <v>70</v>
      </c>
      <c r="I212">
        <v>51</v>
      </c>
      <c r="J212" s="5">
        <v>7038</v>
      </c>
      <c r="K212" s="4">
        <v>1068</v>
      </c>
      <c r="L212" s="6">
        <v>45676</v>
      </c>
      <c r="M212" s="7">
        <f t="shared" si="9"/>
        <v>4.7043010752688172E-2</v>
      </c>
      <c r="N212" s="7">
        <f t="shared" si="10"/>
        <v>0.72857142857142854</v>
      </c>
      <c r="O212" s="7">
        <f t="shared" si="11"/>
        <v>5.5898876404494384</v>
      </c>
    </row>
    <row r="213" spans="1:15" x14ac:dyDescent="0.35">
      <c r="A213">
        <v>212</v>
      </c>
      <c r="B213">
        <v>52</v>
      </c>
      <c r="C213" t="s">
        <v>12</v>
      </c>
      <c r="D213" t="s">
        <v>13</v>
      </c>
      <c r="E213" t="s">
        <v>34</v>
      </c>
      <c r="F213" t="s">
        <v>29</v>
      </c>
      <c r="G213">
        <v>4463</v>
      </c>
      <c r="H213">
        <v>471</v>
      </c>
      <c r="I213">
        <v>19</v>
      </c>
      <c r="J213" s="5">
        <v>2660</v>
      </c>
      <c r="K213" s="4">
        <v>1385</v>
      </c>
      <c r="L213" s="6">
        <v>45682</v>
      </c>
      <c r="M213" s="7">
        <f t="shared" si="9"/>
        <v>0.10553439390544476</v>
      </c>
      <c r="N213" s="7">
        <f t="shared" si="10"/>
        <v>4.0339702760084924E-2</v>
      </c>
      <c r="O213" s="7">
        <f t="shared" si="11"/>
        <v>0.92057761732851984</v>
      </c>
    </row>
    <row r="214" spans="1:15" x14ac:dyDescent="0.35">
      <c r="A214">
        <v>213</v>
      </c>
      <c r="B214">
        <v>33</v>
      </c>
      <c r="C214" t="s">
        <v>19</v>
      </c>
      <c r="D214" t="s">
        <v>16</v>
      </c>
      <c r="E214" t="s">
        <v>17</v>
      </c>
      <c r="F214" t="s">
        <v>29</v>
      </c>
      <c r="G214">
        <v>1291</v>
      </c>
      <c r="H214">
        <v>61</v>
      </c>
      <c r="I214">
        <v>22</v>
      </c>
      <c r="J214" s="5">
        <v>4114</v>
      </c>
      <c r="K214" s="4">
        <v>1494</v>
      </c>
      <c r="L214" s="6">
        <v>45717</v>
      </c>
      <c r="M214" s="7">
        <f t="shared" si="9"/>
        <v>4.7250193648334625E-2</v>
      </c>
      <c r="N214" s="7">
        <f t="shared" si="10"/>
        <v>0.36065573770491804</v>
      </c>
      <c r="O214" s="7">
        <f t="shared" si="11"/>
        <v>1.7536813922356091</v>
      </c>
    </row>
    <row r="215" spans="1:15" x14ac:dyDescent="0.35">
      <c r="A215">
        <v>214</v>
      </c>
      <c r="B215">
        <v>44</v>
      </c>
      <c r="C215" t="s">
        <v>12</v>
      </c>
      <c r="D215" t="s">
        <v>16</v>
      </c>
      <c r="E215" t="s">
        <v>33</v>
      </c>
      <c r="F215" t="s">
        <v>22</v>
      </c>
      <c r="G215">
        <v>1484</v>
      </c>
      <c r="H215">
        <v>194</v>
      </c>
      <c r="I215">
        <v>57</v>
      </c>
      <c r="J215" s="5">
        <v>9006</v>
      </c>
      <c r="K215" s="4">
        <v>719</v>
      </c>
      <c r="L215" s="6">
        <v>45773</v>
      </c>
      <c r="M215" s="7">
        <f t="shared" si="9"/>
        <v>0.1307277628032345</v>
      </c>
      <c r="N215" s="7">
        <f t="shared" si="10"/>
        <v>0.29381443298969073</v>
      </c>
      <c r="O215" s="7">
        <f t="shared" si="11"/>
        <v>11.525730180806676</v>
      </c>
    </row>
    <row r="216" spans="1:15" x14ac:dyDescent="0.35">
      <c r="A216">
        <v>215</v>
      </c>
      <c r="B216">
        <v>20</v>
      </c>
      <c r="C216" t="s">
        <v>19</v>
      </c>
      <c r="D216" t="s">
        <v>23</v>
      </c>
      <c r="E216" t="s">
        <v>32</v>
      </c>
      <c r="F216" t="s">
        <v>29</v>
      </c>
      <c r="G216">
        <v>4944</v>
      </c>
      <c r="H216">
        <v>497</v>
      </c>
      <c r="I216">
        <v>48</v>
      </c>
      <c r="J216" s="5">
        <v>4944</v>
      </c>
      <c r="K216" s="4">
        <v>892</v>
      </c>
      <c r="L216" s="6">
        <v>45703</v>
      </c>
      <c r="M216" s="7">
        <f t="shared" si="9"/>
        <v>0.10052588996763755</v>
      </c>
      <c r="N216" s="7">
        <f t="shared" si="10"/>
        <v>9.6579476861166996E-2</v>
      </c>
      <c r="O216" s="7">
        <f t="shared" si="11"/>
        <v>4.5426008968609866</v>
      </c>
    </row>
    <row r="217" spans="1:15" x14ac:dyDescent="0.35">
      <c r="A217">
        <v>216</v>
      </c>
      <c r="B217">
        <v>37</v>
      </c>
      <c r="C217" t="s">
        <v>12</v>
      </c>
      <c r="D217" t="s">
        <v>23</v>
      </c>
      <c r="E217" t="s">
        <v>32</v>
      </c>
      <c r="F217" t="s">
        <v>15</v>
      </c>
      <c r="G217">
        <v>1026</v>
      </c>
      <c r="H217">
        <v>202</v>
      </c>
      <c r="I217">
        <v>75</v>
      </c>
      <c r="J217" s="5">
        <v>14025</v>
      </c>
      <c r="K217" s="4">
        <v>1496</v>
      </c>
      <c r="L217" s="6">
        <v>45666</v>
      </c>
      <c r="M217" s="7">
        <f t="shared" si="9"/>
        <v>0.19688109161793371</v>
      </c>
      <c r="N217" s="7">
        <f t="shared" si="10"/>
        <v>0.37128712871287128</v>
      </c>
      <c r="O217" s="7">
        <f t="shared" si="11"/>
        <v>8.375</v>
      </c>
    </row>
    <row r="218" spans="1:15" x14ac:dyDescent="0.35">
      <c r="A218">
        <v>217</v>
      </c>
      <c r="B218">
        <v>19</v>
      </c>
      <c r="C218" t="s">
        <v>12</v>
      </c>
      <c r="D218" t="s">
        <v>20</v>
      </c>
      <c r="E218" t="s">
        <v>17</v>
      </c>
      <c r="F218" t="s">
        <v>15</v>
      </c>
      <c r="G218">
        <v>1516</v>
      </c>
      <c r="H218">
        <v>493</v>
      </c>
      <c r="I218">
        <v>67</v>
      </c>
      <c r="J218" s="5">
        <v>13199</v>
      </c>
      <c r="K218" s="4">
        <v>925</v>
      </c>
      <c r="L218" s="6">
        <v>45729</v>
      </c>
      <c r="M218" s="7">
        <f t="shared" si="9"/>
        <v>0.32519788918205805</v>
      </c>
      <c r="N218" s="7">
        <f t="shared" si="10"/>
        <v>0.13590263691683571</v>
      </c>
      <c r="O218" s="7">
        <f t="shared" si="11"/>
        <v>13.26918918918919</v>
      </c>
    </row>
    <row r="219" spans="1:15" x14ac:dyDescent="0.35">
      <c r="A219">
        <v>218</v>
      </c>
      <c r="B219">
        <v>35</v>
      </c>
      <c r="C219" t="s">
        <v>19</v>
      </c>
      <c r="D219" t="s">
        <v>16</v>
      </c>
      <c r="E219" t="s">
        <v>28</v>
      </c>
      <c r="F219" t="s">
        <v>22</v>
      </c>
      <c r="G219">
        <v>894</v>
      </c>
      <c r="H219">
        <v>113</v>
      </c>
      <c r="I219">
        <v>76</v>
      </c>
      <c r="J219" s="5">
        <v>13148</v>
      </c>
      <c r="K219" s="4">
        <v>473</v>
      </c>
      <c r="L219" s="6">
        <v>45689</v>
      </c>
      <c r="M219" s="7">
        <f t="shared" si="9"/>
        <v>0.12639821029082773</v>
      </c>
      <c r="N219" s="7">
        <f t="shared" si="10"/>
        <v>0.67256637168141598</v>
      </c>
      <c r="O219" s="7">
        <f t="shared" si="11"/>
        <v>26.797040169133194</v>
      </c>
    </row>
    <row r="220" spans="1:15" x14ac:dyDescent="0.35">
      <c r="A220">
        <v>219</v>
      </c>
      <c r="B220">
        <v>39</v>
      </c>
      <c r="C220" t="s">
        <v>12</v>
      </c>
      <c r="D220" t="s">
        <v>20</v>
      </c>
      <c r="E220" t="s">
        <v>24</v>
      </c>
      <c r="F220" t="s">
        <v>15</v>
      </c>
      <c r="G220">
        <v>1228</v>
      </c>
      <c r="H220">
        <v>338</v>
      </c>
      <c r="I220">
        <v>45</v>
      </c>
      <c r="J220" s="5">
        <v>4050</v>
      </c>
      <c r="K220" s="4">
        <v>1615</v>
      </c>
      <c r="L220" s="6">
        <v>45745</v>
      </c>
      <c r="M220" s="7">
        <f t="shared" si="9"/>
        <v>0.27524429967426711</v>
      </c>
      <c r="N220" s="7">
        <f t="shared" si="10"/>
        <v>0.13313609467455623</v>
      </c>
      <c r="O220" s="7">
        <f t="shared" si="11"/>
        <v>1.5077399380804954</v>
      </c>
    </row>
    <row r="221" spans="1:15" x14ac:dyDescent="0.35">
      <c r="A221">
        <v>220</v>
      </c>
      <c r="B221">
        <v>33</v>
      </c>
      <c r="C221" t="s">
        <v>12</v>
      </c>
      <c r="D221" t="s">
        <v>13</v>
      </c>
      <c r="E221" t="s">
        <v>28</v>
      </c>
      <c r="F221" t="s">
        <v>15</v>
      </c>
      <c r="G221">
        <v>2076</v>
      </c>
      <c r="H221">
        <v>450</v>
      </c>
      <c r="I221">
        <v>50</v>
      </c>
      <c r="J221" s="5">
        <v>7900</v>
      </c>
      <c r="K221" s="4">
        <v>1895</v>
      </c>
      <c r="L221" s="6">
        <v>45743</v>
      </c>
      <c r="M221" s="7">
        <f t="shared" si="9"/>
        <v>0.21676300578034682</v>
      </c>
      <c r="N221" s="7">
        <f t="shared" si="10"/>
        <v>0.1111111111111111</v>
      </c>
      <c r="O221" s="7">
        <f t="shared" si="11"/>
        <v>3.1688654353562007</v>
      </c>
    </row>
    <row r="222" spans="1:15" x14ac:dyDescent="0.35">
      <c r="A222">
        <v>221</v>
      </c>
      <c r="B222">
        <v>19</v>
      </c>
      <c r="C222" t="s">
        <v>19</v>
      </c>
      <c r="D222" t="s">
        <v>16</v>
      </c>
      <c r="E222" t="s">
        <v>34</v>
      </c>
      <c r="F222" t="s">
        <v>18</v>
      </c>
      <c r="G222">
        <v>3220</v>
      </c>
      <c r="H222">
        <v>251</v>
      </c>
      <c r="I222">
        <v>44</v>
      </c>
      <c r="J222" s="5">
        <v>7744</v>
      </c>
      <c r="K222" s="4">
        <v>441</v>
      </c>
      <c r="L222" s="6">
        <v>45690</v>
      </c>
      <c r="M222" s="7">
        <f t="shared" si="9"/>
        <v>7.7950310559006211E-2</v>
      </c>
      <c r="N222" s="7">
        <f t="shared" si="10"/>
        <v>0.1752988047808765</v>
      </c>
      <c r="O222" s="7">
        <f t="shared" si="11"/>
        <v>16.560090702947846</v>
      </c>
    </row>
    <row r="223" spans="1:15" x14ac:dyDescent="0.35">
      <c r="A223">
        <v>222</v>
      </c>
      <c r="B223">
        <v>43</v>
      </c>
      <c r="C223" t="s">
        <v>12</v>
      </c>
      <c r="D223" t="s">
        <v>27</v>
      </c>
      <c r="E223" t="s">
        <v>28</v>
      </c>
      <c r="F223" t="s">
        <v>18</v>
      </c>
      <c r="G223">
        <v>4544</v>
      </c>
      <c r="H223">
        <v>463</v>
      </c>
      <c r="I223">
        <v>37</v>
      </c>
      <c r="J223" s="5">
        <v>7215</v>
      </c>
      <c r="K223" s="4">
        <v>788</v>
      </c>
      <c r="L223" s="6">
        <v>45760</v>
      </c>
      <c r="M223" s="7">
        <f t="shared" si="9"/>
        <v>0.10189260563380281</v>
      </c>
      <c r="N223" s="7">
        <f t="shared" si="10"/>
        <v>7.9913606911447083E-2</v>
      </c>
      <c r="O223" s="7">
        <f t="shared" si="11"/>
        <v>8.1560913705583751</v>
      </c>
    </row>
    <row r="224" spans="1:15" x14ac:dyDescent="0.35">
      <c r="A224">
        <v>223</v>
      </c>
      <c r="B224">
        <v>32</v>
      </c>
      <c r="C224" t="s">
        <v>12</v>
      </c>
      <c r="D224" t="s">
        <v>23</v>
      </c>
      <c r="E224" t="s">
        <v>33</v>
      </c>
      <c r="F224" t="s">
        <v>29</v>
      </c>
      <c r="G224">
        <v>2741</v>
      </c>
      <c r="H224">
        <v>215</v>
      </c>
      <c r="I224">
        <v>50</v>
      </c>
      <c r="J224" s="5">
        <v>9650</v>
      </c>
      <c r="K224" s="4">
        <v>321</v>
      </c>
      <c r="L224" s="6">
        <v>45763</v>
      </c>
      <c r="M224" s="7">
        <f t="shared" si="9"/>
        <v>7.8438526085370303E-2</v>
      </c>
      <c r="N224" s="7">
        <f t="shared" si="10"/>
        <v>0.23255813953488372</v>
      </c>
      <c r="O224" s="7">
        <f t="shared" si="11"/>
        <v>29.062305295950157</v>
      </c>
    </row>
    <row r="225" spans="1:15" x14ac:dyDescent="0.35">
      <c r="A225">
        <v>224</v>
      </c>
      <c r="B225">
        <v>23</v>
      </c>
      <c r="C225" t="s">
        <v>12</v>
      </c>
      <c r="D225" t="s">
        <v>23</v>
      </c>
      <c r="E225" t="s">
        <v>30</v>
      </c>
      <c r="F225" t="s">
        <v>18</v>
      </c>
      <c r="G225">
        <v>1386</v>
      </c>
      <c r="H225">
        <v>477</v>
      </c>
      <c r="I225">
        <v>53</v>
      </c>
      <c r="J225" s="5">
        <v>7738</v>
      </c>
      <c r="K225" s="4">
        <v>516</v>
      </c>
      <c r="L225" s="6">
        <v>45663</v>
      </c>
      <c r="M225" s="7">
        <f t="shared" si="9"/>
        <v>0.34415584415584416</v>
      </c>
      <c r="N225" s="7">
        <f t="shared" si="10"/>
        <v>0.1111111111111111</v>
      </c>
      <c r="O225" s="7">
        <f t="shared" si="11"/>
        <v>13.996124031007753</v>
      </c>
    </row>
    <row r="226" spans="1:15" x14ac:dyDescent="0.35">
      <c r="A226">
        <v>225</v>
      </c>
      <c r="B226">
        <v>29</v>
      </c>
      <c r="C226" t="s">
        <v>12</v>
      </c>
      <c r="D226" t="s">
        <v>26</v>
      </c>
      <c r="E226" t="s">
        <v>17</v>
      </c>
      <c r="F226" t="s">
        <v>15</v>
      </c>
      <c r="G226">
        <v>3644</v>
      </c>
      <c r="H226">
        <v>408</v>
      </c>
      <c r="I226">
        <v>36</v>
      </c>
      <c r="J226" s="5">
        <v>6948</v>
      </c>
      <c r="K226" s="4">
        <v>752</v>
      </c>
      <c r="L226" s="6">
        <v>45729</v>
      </c>
      <c r="M226" s="7">
        <f t="shared" si="9"/>
        <v>0.1119648737650933</v>
      </c>
      <c r="N226" s="7">
        <f t="shared" si="10"/>
        <v>8.8235294117647065E-2</v>
      </c>
      <c r="O226" s="7">
        <f t="shared" si="11"/>
        <v>8.2393617021276597</v>
      </c>
    </row>
    <row r="227" spans="1:15" x14ac:dyDescent="0.35">
      <c r="A227">
        <v>226</v>
      </c>
      <c r="B227">
        <v>24</v>
      </c>
      <c r="C227" t="s">
        <v>12</v>
      </c>
      <c r="D227" t="s">
        <v>20</v>
      </c>
      <c r="E227" t="s">
        <v>32</v>
      </c>
      <c r="F227" t="s">
        <v>31</v>
      </c>
      <c r="G227">
        <v>2213</v>
      </c>
      <c r="H227">
        <v>397</v>
      </c>
      <c r="I227">
        <v>66</v>
      </c>
      <c r="J227" s="5">
        <v>9306</v>
      </c>
      <c r="K227" s="4">
        <v>1307</v>
      </c>
      <c r="L227" s="6">
        <v>45737</v>
      </c>
      <c r="M227" s="7">
        <f t="shared" si="9"/>
        <v>0.17939448712155445</v>
      </c>
      <c r="N227" s="7">
        <f t="shared" si="10"/>
        <v>0.16624685138539042</v>
      </c>
      <c r="O227" s="7">
        <f t="shared" si="11"/>
        <v>6.120122417750574</v>
      </c>
    </row>
    <row r="228" spans="1:15" x14ac:dyDescent="0.35">
      <c r="A228">
        <v>227</v>
      </c>
      <c r="B228">
        <v>20</v>
      </c>
      <c r="C228" t="s">
        <v>19</v>
      </c>
      <c r="D228" t="s">
        <v>13</v>
      </c>
      <c r="E228" t="s">
        <v>30</v>
      </c>
      <c r="F228" t="s">
        <v>15</v>
      </c>
      <c r="G228">
        <v>1399</v>
      </c>
      <c r="H228">
        <v>439</v>
      </c>
      <c r="I228">
        <v>62</v>
      </c>
      <c r="J228" s="5">
        <v>6510</v>
      </c>
      <c r="K228" s="4">
        <v>221</v>
      </c>
      <c r="L228" s="6">
        <v>45717</v>
      </c>
      <c r="M228" s="7">
        <f t="shared" si="9"/>
        <v>0.31379556826304505</v>
      </c>
      <c r="N228" s="7">
        <f t="shared" si="10"/>
        <v>0.14123006833712984</v>
      </c>
      <c r="O228" s="7">
        <f t="shared" si="11"/>
        <v>28.457013574660632</v>
      </c>
    </row>
    <row r="229" spans="1:15" x14ac:dyDescent="0.35">
      <c r="A229">
        <v>228</v>
      </c>
      <c r="B229">
        <v>36</v>
      </c>
      <c r="C229" t="s">
        <v>19</v>
      </c>
      <c r="D229" t="s">
        <v>13</v>
      </c>
      <c r="E229" t="s">
        <v>14</v>
      </c>
      <c r="F229" t="s">
        <v>29</v>
      </c>
      <c r="G229">
        <v>4609</v>
      </c>
      <c r="H229">
        <v>61</v>
      </c>
      <c r="I229">
        <v>16</v>
      </c>
      <c r="J229" s="5">
        <v>1664</v>
      </c>
      <c r="K229" s="4">
        <v>1108</v>
      </c>
      <c r="L229" s="6">
        <v>45767</v>
      </c>
      <c r="M229" s="7">
        <f t="shared" si="9"/>
        <v>1.3234975048817531E-2</v>
      </c>
      <c r="N229" s="7">
        <f t="shared" si="10"/>
        <v>0.26229508196721313</v>
      </c>
      <c r="O229" s="7">
        <f t="shared" si="11"/>
        <v>0.50180505415162457</v>
      </c>
    </row>
    <row r="230" spans="1:15" x14ac:dyDescent="0.35">
      <c r="A230">
        <v>229</v>
      </c>
      <c r="B230">
        <v>49</v>
      </c>
      <c r="C230" t="s">
        <v>19</v>
      </c>
      <c r="D230" t="s">
        <v>20</v>
      </c>
      <c r="E230" t="s">
        <v>24</v>
      </c>
      <c r="F230" t="s">
        <v>22</v>
      </c>
      <c r="G230">
        <v>3927</v>
      </c>
      <c r="H230">
        <v>222</v>
      </c>
      <c r="I230">
        <v>12</v>
      </c>
      <c r="J230" s="5">
        <v>2376</v>
      </c>
      <c r="K230" s="4">
        <v>1956</v>
      </c>
      <c r="L230" s="6">
        <v>45701</v>
      </c>
      <c r="M230" s="7">
        <f t="shared" si="9"/>
        <v>5.6531703590527123E-2</v>
      </c>
      <c r="N230" s="7">
        <f t="shared" si="10"/>
        <v>5.4054054054054057E-2</v>
      </c>
      <c r="O230" s="7">
        <f t="shared" si="11"/>
        <v>0.21472392638036811</v>
      </c>
    </row>
    <row r="231" spans="1:15" x14ac:dyDescent="0.35">
      <c r="A231">
        <v>230</v>
      </c>
      <c r="B231">
        <v>20</v>
      </c>
      <c r="C231" t="s">
        <v>12</v>
      </c>
      <c r="D231" t="s">
        <v>26</v>
      </c>
      <c r="E231" t="s">
        <v>21</v>
      </c>
      <c r="F231" t="s">
        <v>22</v>
      </c>
      <c r="G231">
        <v>4165</v>
      </c>
      <c r="H231">
        <v>451</v>
      </c>
      <c r="I231">
        <v>26</v>
      </c>
      <c r="J231" s="5">
        <v>4550</v>
      </c>
      <c r="K231" s="4">
        <v>748</v>
      </c>
      <c r="L231" s="6">
        <v>45772</v>
      </c>
      <c r="M231" s="7">
        <f t="shared" si="9"/>
        <v>0.10828331332533013</v>
      </c>
      <c r="N231" s="7">
        <f t="shared" si="10"/>
        <v>5.7649667405764965E-2</v>
      </c>
      <c r="O231" s="7">
        <f t="shared" si="11"/>
        <v>5.0828877005347595</v>
      </c>
    </row>
    <row r="232" spans="1:15" x14ac:dyDescent="0.35">
      <c r="A232">
        <v>231</v>
      </c>
      <c r="B232">
        <v>24</v>
      </c>
      <c r="C232" t="s">
        <v>12</v>
      </c>
      <c r="D232" t="s">
        <v>27</v>
      </c>
      <c r="E232" t="s">
        <v>34</v>
      </c>
      <c r="F232" t="s">
        <v>22</v>
      </c>
      <c r="G232">
        <v>4630</v>
      </c>
      <c r="H232">
        <v>494</v>
      </c>
      <c r="I232">
        <v>58</v>
      </c>
      <c r="J232" s="5">
        <v>10208</v>
      </c>
      <c r="K232" s="4">
        <v>1430</v>
      </c>
      <c r="L232" s="6">
        <v>45751</v>
      </c>
      <c r="M232" s="7">
        <f t="shared" si="9"/>
        <v>0.10669546436285098</v>
      </c>
      <c r="N232" s="7">
        <f t="shared" si="10"/>
        <v>0.11740890688259109</v>
      </c>
      <c r="O232" s="7">
        <f t="shared" si="11"/>
        <v>6.1384615384615389</v>
      </c>
    </row>
    <row r="233" spans="1:15" x14ac:dyDescent="0.35">
      <c r="A233">
        <v>232</v>
      </c>
      <c r="B233">
        <v>54</v>
      </c>
      <c r="C233" t="s">
        <v>19</v>
      </c>
      <c r="D233" t="s">
        <v>20</v>
      </c>
      <c r="E233" t="s">
        <v>32</v>
      </c>
      <c r="F233" t="s">
        <v>22</v>
      </c>
      <c r="G233">
        <v>658</v>
      </c>
      <c r="H233">
        <v>491</v>
      </c>
      <c r="I233">
        <v>65</v>
      </c>
      <c r="J233" s="5">
        <v>6435</v>
      </c>
      <c r="K233" s="4">
        <v>223</v>
      </c>
      <c r="L233" s="6">
        <v>45749</v>
      </c>
      <c r="M233" s="7">
        <f t="shared" si="9"/>
        <v>0.74620060790273557</v>
      </c>
      <c r="N233" s="7">
        <f t="shared" si="10"/>
        <v>0.13238289205702647</v>
      </c>
      <c r="O233" s="7">
        <f t="shared" si="11"/>
        <v>27.856502242152466</v>
      </c>
    </row>
    <row r="234" spans="1:15" x14ac:dyDescent="0.35">
      <c r="A234">
        <v>233</v>
      </c>
      <c r="B234">
        <v>49</v>
      </c>
      <c r="C234" t="s">
        <v>12</v>
      </c>
      <c r="D234" t="s">
        <v>13</v>
      </c>
      <c r="E234" t="s">
        <v>30</v>
      </c>
      <c r="F234" t="s">
        <v>15</v>
      </c>
      <c r="G234">
        <v>1887</v>
      </c>
      <c r="H234">
        <v>431</v>
      </c>
      <c r="I234">
        <v>24</v>
      </c>
      <c r="J234" s="5">
        <v>2472</v>
      </c>
      <c r="K234" s="4">
        <v>1155</v>
      </c>
      <c r="L234" s="6">
        <v>45693</v>
      </c>
      <c r="M234" s="7">
        <f t="shared" si="9"/>
        <v>0.228404875463699</v>
      </c>
      <c r="N234" s="7">
        <f t="shared" si="10"/>
        <v>5.5684454756380508E-2</v>
      </c>
      <c r="O234" s="7">
        <f t="shared" si="11"/>
        <v>1.1402597402597403</v>
      </c>
    </row>
    <row r="235" spans="1:15" x14ac:dyDescent="0.35">
      <c r="A235">
        <v>234</v>
      </c>
      <c r="B235">
        <v>53</v>
      </c>
      <c r="C235" t="s">
        <v>12</v>
      </c>
      <c r="D235" t="s">
        <v>13</v>
      </c>
      <c r="E235" t="s">
        <v>28</v>
      </c>
      <c r="F235" t="s">
        <v>18</v>
      </c>
      <c r="G235">
        <v>1773</v>
      </c>
      <c r="H235">
        <v>166</v>
      </c>
      <c r="I235">
        <v>70</v>
      </c>
      <c r="J235" s="5">
        <v>7910</v>
      </c>
      <c r="K235" s="4">
        <v>534</v>
      </c>
      <c r="L235" s="6">
        <v>45696</v>
      </c>
      <c r="M235" s="7">
        <f t="shared" si="9"/>
        <v>9.3626621545403271E-2</v>
      </c>
      <c r="N235" s="7">
        <f t="shared" si="10"/>
        <v>0.42168674698795183</v>
      </c>
      <c r="O235" s="7">
        <f t="shared" si="11"/>
        <v>13.812734082397004</v>
      </c>
    </row>
    <row r="236" spans="1:15" x14ac:dyDescent="0.35">
      <c r="A236">
        <v>235</v>
      </c>
      <c r="B236">
        <v>20</v>
      </c>
      <c r="C236" t="s">
        <v>19</v>
      </c>
      <c r="D236" t="s">
        <v>20</v>
      </c>
      <c r="E236" t="s">
        <v>33</v>
      </c>
      <c r="F236" t="s">
        <v>22</v>
      </c>
      <c r="G236">
        <v>4509</v>
      </c>
      <c r="H236">
        <v>292</v>
      </c>
      <c r="I236">
        <v>62</v>
      </c>
      <c r="J236" s="5">
        <v>5642</v>
      </c>
      <c r="K236" s="4">
        <v>1469</v>
      </c>
      <c r="L236" s="6">
        <v>45697</v>
      </c>
      <c r="M236" s="7">
        <f t="shared" si="9"/>
        <v>6.4759370148591705E-2</v>
      </c>
      <c r="N236" s="7">
        <f t="shared" si="10"/>
        <v>0.21232876712328766</v>
      </c>
      <c r="O236" s="7">
        <f t="shared" si="11"/>
        <v>2.8407079646017701</v>
      </c>
    </row>
    <row r="237" spans="1:15" x14ac:dyDescent="0.35">
      <c r="A237">
        <v>236</v>
      </c>
      <c r="B237">
        <v>47</v>
      </c>
      <c r="C237" t="s">
        <v>12</v>
      </c>
      <c r="D237" t="s">
        <v>20</v>
      </c>
      <c r="E237" t="s">
        <v>14</v>
      </c>
      <c r="F237" t="s">
        <v>18</v>
      </c>
      <c r="G237">
        <v>3458</v>
      </c>
      <c r="H237">
        <v>274</v>
      </c>
      <c r="I237">
        <v>30</v>
      </c>
      <c r="J237" s="5">
        <v>5370</v>
      </c>
      <c r="K237" s="4">
        <v>1743</v>
      </c>
      <c r="L237" s="6">
        <v>45699</v>
      </c>
      <c r="M237" s="7">
        <f t="shared" si="9"/>
        <v>7.9236552920763453E-2</v>
      </c>
      <c r="N237" s="7">
        <f t="shared" si="10"/>
        <v>0.10948905109489052</v>
      </c>
      <c r="O237" s="7">
        <f t="shared" si="11"/>
        <v>2.080895008605852</v>
      </c>
    </row>
    <row r="238" spans="1:15" x14ac:dyDescent="0.35">
      <c r="A238">
        <v>237</v>
      </c>
      <c r="B238">
        <v>22</v>
      </c>
      <c r="C238" t="s">
        <v>12</v>
      </c>
      <c r="D238" t="s">
        <v>20</v>
      </c>
      <c r="E238" t="s">
        <v>28</v>
      </c>
      <c r="F238" t="s">
        <v>31</v>
      </c>
      <c r="G238">
        <v>1439</v>
      </c>
      <c r="H238">
        <v>63</v>
      </c>
      <c r="I238">
        <v>6</v>
      </c>
      <c r="J238" s="5">
        <v>696</v>
      </c>
      <c r="K238" s="4">
        <v>574</v>
      </c>
      <c r="L238" s="6">
        <v>45766</v>
      </c>
      <c r="M238" s="7">
        <f t="shared" si="9"/>
        <v>4.378040305767894E-2</v>
      </c>
      <c r="N238" s="7">
        <f t="shared" si="10"/>
        <v>9.5238095238095233E-2</v>
      </c>
      <c r="O238" s="7">
        <f t="shared" si="11"/>
        <v>0.21254355400696864</v>
      </c>
    </row>
    <row r="239" spans="1:15" x14ac:dyDescent="0.35">
      <c r="A239">
        <v>238</v>
      </c>
      <c r="B239">
        <v>42</v>
      </c>
      <c r="C239" t="s">
        <v>19</v>
      </c>
      <c r="D239" t="s">
        <v>23</v>
      </c>
      <c r="E239" t="s">
        <v>32</v>
      </c>
      <c r="F239" t="s">
        <v>31</v>
      </c>
      <c r="G239">
        <v>2865</v>
      </c>
      <c r="H239">
        <v>365</v>
      </c>
      <c r="I239">
        <v>18</v>
      </c>
      <c r="J239" s="5">
        <v>3276</v>
      </c>
      <c r="K239" s="4">
        <v>703</v>
      </c>
      <c r="L239" s="6">
        <v>45659</v>
      </c>
      <c r="M239" s="7">
        <f t="shared" si="9"/>
        <v>0.12739965095986039</v>
      </c>
      <c r="N239" s="7">
        <f t="shared" si="10"/>
        <v>4.9315068493150684E-2</v>
      </c>
      <c r="O239" s="7">
        <f t="shared" si="11"/>
        <v>3.6600284495021338</v>
      </c>
    </row>
    <row r="240" spans="1:15" x14ac:dyDescent="0.35">
      <c r="A240">
        <v>239</v>
      </c>
      <c r="B240">
        <v>45</v>
      </c>
      <c r="C240" t="s">
        <v>12</v>
      </c>
      <c r="D240" t="s">
        <v>27</v>
      </c>
      <c r="E240" t="s">
        <v>33</v>
      </c>
      <c r="F240" t="s">
        <v>22</v>
      </c>
      <c r="G240">
        <v>4314</v>
      </c>
      <c r="H240">
        <v>375</v>
      </c>
      <c r="I240">
        <v>21</v>
      </c>
      <c r="J240" s="5">
        <v>3528</v>
      </c>
      <c r="K240" s="4">
        <v>1090</v>
      </c>
      <c r="L240" s="6">
        <v>45692</v>
      </c>
      <c r="M240" s="7">
        <f t="shared" si="9"/>
        <v>8.6926286509040329E-2</v>
      </c>
      <c r="N240" s="7">
        <f t="shared" si="10"/>
        <v>5.6000000000000001E-2</v>
      </c>
      <c r="O240" s="7">
        <f t="shared" si="11"/>
        <v>2.236697247706422</v>
      </c>
    </row>
    <row r="241" spans="1:15" x14ac:dyDescent="0.35">
      <c r="A241">
        <v>240</v>
      </c>
      <c r="B241">
        <v>53</v>
      </c>
      <c r="C241" t="s">
        <v>19</v>
      </c>
      <c r="D241" t="s">
        <v>26</v>
      </c>
      <c r="E241" t="s">
        <v>14</v>
      </c>
      <c r="F241" t="s">
        <v>18</v>
      </c>
      <c r="G241">
        <v>1752</v>
      </c>
      <c r="H241">
        <v>310</v>
      </c>
      <c r="I241">
        <v>69</v>
      </c>
      <c r="J241" s="5">
        <v>10695</v>
      </c>
      <c r="K241" s="4">
        <v>1647</v>
      </c>
      <c r="L241" s="6">
        <v>45704</v>
      </c>
      <c r="M241" s="7">
        <f t="shared" si="9"/>
        <v>0.1769406392694064</v>
      </c>
      <c r="N241" s="7">
        <f t="shared" si="10"/>
        <v>0.22258064516129034</v>
      </c>
      <c r="O241" s="7">
        <f t="shared" si="11"/>
        <v>5.4936247723132965</v>
      </c>
    </row>
    <row r="242" spans="1:15" x14ac:dyDescent="0.35">
      <c r="A242">
        <v>241</v>
      </c>
      <c r="B242">
        <v>33</v>
      </c>
      <c r="C242" t="s">
        <v>12</v>
      </c>
      <c r="D242" t="s">
        <v>27</v>
      </c>
      <c r="E242" t="s">
        <v>21</v>
      </c>
      <c r="F242" t="s">
        <v>31</v>
      </c>
      <c r="G242">
        <v>3966</v>
      </c>
      <c r="H242">
        <v>59</v>
      </c>
      <c r="I242">
        <v>71</v>
      </c>
      <c r="J242" s="5">
        <v>6603</v>
      </c>
      <c r="K242" s="4">
        <v>829</v>
      </c>
      <c r="L242" s="6">
        <v>45750</v>
      </c>
      <c r="M242" s="7">
        <f t="shared" si="9"/>
        <v>1.4876449823499747E-2</v>
      </c>
      <c r="N242" s="7">
        <f t="shared" si="10"/>
        <v>1.2033898305084745</v>
      </c>
      <c r="O242" s="7">
        <f t="shared" si="11"/>
        <v>6.9650180940892641</v>
      </c>
    </row>
    <row r="243" spans="1:15" x14ac:dyDescent="0.35">
      <c r="A243">
        <v>242</v>
      </c>
      <c r="B243">
        <v>25</v>
      </c>
      <c r="C243" t="s">
        <v>12</v>
      </c>
      <c r="D243" t="s">
        <v>20</v>
      </c>
      <c r="E243" t="s">
        <v>34</v>
      </c>
      <c r="F243" t="s">
        <v>31</v>
      </c>
      <c r="G243">
        <v>3391</v>
      </c>
      <c r="H243">
        <v>399</v>
      </c>
      <c r="I243">
        <v>5</v>
      </c>
      <c r="J243" s="5">
        <v>495</v>
      </c>
      <c r="K243" s="4">
        <v>332</v>
      </c>
      <c r="L243" s="6">
        <v>45714</v>
      </c>
      <c r="M243" s="7">
        <f t="shared" si="9"/>
        <v>0.11766440578000589</v>
      </c>
      <c r="N243" s="7">
        <f t="shared" si="10"/>
        <v>1.2531328320802004E-2</v>
      </c>
      <c r="O243" s="7">
        <f t="shared" si="11"/>
        <v>0.49096385542168675</v>
      </c>
    </row>
    <row r="244" spans="1:15" x14ac:dyDescent="0.35">
      <c r="A244">
        <v>243</v>
      </c>
      <c r="B244">
        <v>54</v>
      </c>
      <c r="C244" t="s">
        <v>12</v>
      </c>
      <c r="D244" t="s">
        <v>27</v>
      </c>
      <c r="E244" t="s">
        <v>25</v>
      </c>
      <c r="F244" t="s">
        <v>31</v>
      </c>
      <c r="G244">
        <v>1075</v>
      </c>
      <c r="H244">
        <v>423</v>
      </c>
      <c r="I244">
        <v>32</v>
      </c>
      <c r="J244" s="5">
        <v>5952</v>
      </c>
      <c r="K244" s="4">
        <v>1344</v>
      </c>
      <c r="L244" s="6">
        <v>45733</v>
      </c>
      <c r="M244" s="7">
        <f t="shared" si="9"/>
        <v>0.39348837209302323</v>
      </c>
      <c r="N244" s="7">
        <f t="shared" si="10"/>
        <v>7.5650118203309691E-2</v>
      </c>
      <c r="O244" s="7">
        <f t="shared" si="11"/>
        <v>3.4285714285714284</v>
      </c>
    </row>
    <row r="245" spans="1:15" x14ac:dyDescent="0.35">
      <c r="A245">
        <v>244</v>
      </c>
      <c r="B245">
        <v>32</v>
      </c>
      <c r="C245" t="s">
        <v>12</v>
      </c>
      <c r="D245" t="s">
        <v>20</v>
      </c>
      <c r="E245" t="s">
        <v>28</v>
      </c>
      <c r="F245" t="s">
        <v>15</v>
      </c>
      <c r="G245">
        <v>2712</v>
      </c>
      <c r="H245">
        <v>354</v>
      </c>
      <c r="I245">
        <v>48</v>
      </c>
      <c r="J245" s="5">
        <v>9120</v>
      </c>
      <c r="K245" s="4">
        <v>355</v>
      </c>
      <c r="L245" s="6">
        <v>45765</v>
      </c>
      <c r="M245" s="7">
        <f t="shared" si="9"/>
        <v>0.13053097345132744</v>
      </c>
      <c r="N245" s="7">
        <f t="shared" si="10"/>
        <v>0.13559322033898305</v>
      </c>
      <c r="O245" s="7">
        <f t="shared" si="11"/>
        <v>24.690140845070424</v>
      </c>
    </row>
    <row r="246" spans="1:15" x14ac:dyDescent="0.35">
      <c r="A246">
        <v>245</v>
      </c>
      <c r="B246">
        <v>26</v>
      </c>
      <c r="C246" t="s">
        <v>19</v>
      </c>
      <c r="D246" t="s">
        <v>27</v>
      </c>
      <c r="E246" t="s">
        <v>25</v>
      </c>
      <c r="F246" t="s">
        <v>31</v>
      </c>
      <c r="G246">
        <v>1774</v>
      </c>
      <c r="H246">
        <v>494</v>
      </c>
      <c r="I246">
        <v>24</v>
      </c>
      <c r="J246" s="5">
        <v>1944</v>
      </c>
      <c r="K246" s="4">
        <v>533</v>
      </c>
      <c r="L246" s="6">
        <v>45677</v>
      </c>
      <c r="M246" s="7">
        <f t="shared" si="9"/>
        <v>0.27846674182638104</v>
      </c>
      <c r="N246" s="7">
        <f t="shared" si="10"/>
        <v>4.8582995951417005E-2</v>
      </c>
      <c r="O246" s="7">
        <f t="shared" si="11"/>
        <v>2.6472795497185739</v>
      </c>
    </row>
    <row r="247" spans="1:15" x14ac:dyDescent="0.35">
      <c r="A247">
        <v>246</v>
      </c>
      <c r="B247">
        <v>23</v>
      </c>
      <c r="C247" t="s">
        <v>12</v>
      </c>
      <c r="D247" t="s">
        <v>13</v>
      </c>
      <c r="E247" t="s">
        <v>25</v>
      </c>
      <c r="F247" t="s">
        <v>29</v>
      </c>
      <c r="G247">
        <v>781</v>
      </c>
      <c r="H247">
        <v>334</v>
      </c>
      <c r="I247">
        <v>5</v>
      </c>
      <c r="J247" s="5">
        <v>570</v>
      </c>
      <c r="K247" s="4">
        <v>318</v>
      </c>
      <c r="L247" s="6">
        <v>45774</v>
      </c>
      <c r="M247" s="7">
        <f t="shared" si="9"/>
        <v>0.42765685019206146</v>
      </c>
      <c r="N247" s="7">
        <f t="shared" si="10"/>
        <v>1.4970059880239521E-2</v>
      </c>
      <c r="O247" s="7">
        <f t="shared" si="11"/>
        <v>0.79245283018867929</v>
      </c>
    </row>
    <row r="248" spans="1:15" x14ac:dyDescent="0.35">
      <c r="A248">
        <v>247</v>
      </c>
      <c r="B248">
        <v>41</v>
      </c>
      <c r="C248" t="s">
        <v>12</v>
      </c>
      <c r="D248" t="s">
        <v>23</v>
      </c>
      <c r="E248" t="s">
        <v>33</v>
      </c>
      <c r="F248" t="s">
        <v>18</v>
      </c>
      <c r="G248">
        <v>1508</v>
      </c>
      <c r="H248">
        <v>228</v>
      </c>
      <c r="I248">
        <v>16</v>
      </c>
      <c r="J248" s="5">
        <v>1584</v>
      </c>
      <c r="K248" s="4">
        <v>689</v>
      </c>
      <c r="L248" s="6">
        <v>45746</v>
      </c>
      <c r="M248" s="7">
        <f t="shared" si="9"/>
        <v>0.15119363395225463</v>
      </c>
      <c r="N248" s="7">
        <f t="shared" si="10"/>
        <v>7.0175438596491224E-2</v>
      </c>
      <c r="O248" s="7">
        <f t="shared" si="11"/>
        <v>1.2989840348330914</v>
      </c>
    </row>
    <row r="249" spans="1:15" x14ac:dyDescent="0.35">
      <c r="A249">
        <v>248</v>
      </c>
      <c r="B249">
        <v>40</v>
      </c>
      <c r="C249" t="s">
        <v>19</v>
      </c>
      <c r="D249" t="s">
        <v>13</v>
      </c>
      <c r="E249" t="s">
        <v>28</v>
      </c>
      <c r="F249" t="s">
        <v>31</v>
      </c>
      <c r="G249">
        <v>4368</v>
      </c>
      <c r="H249">
        <v>234</v>
      </c>
      <c r="I249">
        <v>43</v>
      </c>
      <c r="J249" s="5">
        <v>5805</v>
      </c>
      <c r="K249" s="4">
        <v>1446</v>
      </c>
      <c r="L249" s="6">
        <v>45741</v>
      </c>
      <c r="M249" s="7">
        <f t="shared" si="9"/>
        <v>5.3571428571428568E-2</v>
      </c>
      <c r="N249" s="7">
        <f t="shared" si="10"/>
        <v>0.18376068376068377</v>
      </c>
      <c r="O249" s="7">
        <f t="shared" si="11"/>
        <v>3.0145228215767634</v>
      </c>
    </row>
    <row r="250" spans="1:15" x14ac:dyDescent="0.35">
      <c r="A250">
        <v>249</v>
      </c>
      <c r="B250">
        <v>25</v>
      </c>
      <c r="C250" t="s">
        <v>19</v>
      </c>
      <c r="D250" t="s">
        <v>26</v>
      </c>
      <c r="E250" t="s">
        <v>33</v>
      </c>
      <c r="F250" t="s">
        <v>29</v>
      </c>
      <c r="G250">
        <v>4903</v>
      </c>
      <c r="H250">
        <v>385</v>
      </c>
      <c r="I250">
        <v>54</v>
      </c>
      <c r="J250" s="5">
        <v>10692</v>
      </c>
      <c r="K250" s="4">
        <v>945</v>
      </c>
      <c r="L250" s="6">
        <v>45742</v>
      </c>
      <c r="M250" s="7">
        <f t="shared" si="9"/>
        <v>7.8523353049153574E-2</v>
      </c>
      <c r="N250" s="7">
        <f t="shared" si="10"/>
        <v>0.14025974025974025</v>
      </c>
      <c r="O250" s="7">
        <f t="shared" si="11"/>
        <v>10.314285714285715</v>
      </c>
    </row>
    <row r="251" spans="1:15" x14ac:dyDescent="0.35">
      <c r="A251">
        <v>250</v>
      </c>
      <c r="B251">
        <v>22</v>
      </c>
      <c r="C251" t="s">
        <v>12</v>
      </c>
      <c r="D251" t="s">
        <v>16</v>
      </c>
      <c r="E251" t="s">
        <v>28</v>
      </c>
      <c r="F251" t="s">
        <v>18</v>
      </c>
      <c r="G251">
        <v>628</v>
      </c>
      <c r="H251">
        <v>313</v>
      </c>
      <c r="I251">
        <v>33</v>
      </c>
      <c r="J251" s="5">
        <v>5973</v>
      </c>
      <c r="K251" s="4">
        <v>1575</v>
      </c>
      <c r="L251" s="6">
        <v>45704</v>
      </c>
      <c r="M251" s="7">
        <f t="shared" si="9"/>
        <v>0.49840764331210191</v>
      </c>
      <c r="N251" s="7">
        <f t="shared" si="10"/>
        <v>0.10543130990415335</v>
      </c>
      <c r="O251" s="7">
        <f t="shared" si="11"/>
        <v>2.7923809523809524</v>
      </c>
    </row>
    <row r="252" spans="1:15" x14ac:dyDescent="0.35">
      <c r="A252">
        <v>251</v>
      </c>
      <c r="B252">
        <v>27</v>
      </c>
      <c r="C252" t="s">
        <v>19</v>
      </c>
      <c r="D252" t="s">
        <v>26</v>
      </c>
      <c r="E252" t="s">
        <v>33</v>
      </c>
      <c r="F252" t="s">
        <v>29</v>
      </c>
      <c r="G252">
        <v>4373</v>
      </c>
      <c r="H252">
        <v>242</v>
      </c>
      <c r="I252">
        <v>59</v>
      </c>
      <c r="J252" s="5">
        <v>9971</v>
      </c>
      <c r="K252" s="4">
        <v>1342</v>
      </c>
      <c r="L252" s="6">
        <v>45739</v>
      </c>
      <c r="M252" s="7">
        <f t="shared" si="9"/>
        <v>5.5339583809741598E-2</v>
      </c>
      <c r="N252" s="7">
        <f t="shared" si="10"/>
        <v>0.24380165289256198</v>
      </c>
      <c r="O252" s="7">
        <f t="shared" si="11"/>
        <v>6.4299552906110282</v>
      </c>
    </row>
    <row r="253" spans="1:15" x14ac:dyDescent="0.35">
      <c r="A253">
        <v>252</v>
      </c>
      <c r="B253">
        <v>21</v>
      </c>
      <c r="C253" t="s">
        <v>19</v>
      </c>
      <c r="D253" t="s">
        <v>23</v>
      </c>
      <c r="E253" t="s">
        <v>34</v>
      </c>
      <c r="F253" t="s">
        <v>15</v>
      </c>
      <c r="G253">
        <v>4219</v>
      </c>
      <c r="H253">
        <v>352</v>
      </c>
      <c r="I253">
        <v>76</v>
      </c>
      <c r="J253" s="5">
        <v>9500</v>
      </c>
      <c r="K253" s="4">
        <v>544</v>
      </c>
      <c r="L253" s="6">
        <v>45658</v>
      </c>
      <c r="M253" s="7">
        <f t="shared" si="9"/>
        <v>8.3432092913012568E-2</v>
      </c>
      <c r="N253" s="7">
        <f t="shared" si="10"/>
        <v>0.21590909090909091</v>
      </c>
      <c r="O253" s="7">
        <f t="shared" si="11"/>
        <v>16.463235294117649</v>
      </c>
    </row>
    <row r="254" spans="1:15" x14ac:dyDescent="0.35">
      <c r="A254">
        <v>253</v>
      </c>
      <c r="B254">
        <v>45</v>
      </c>
      <c r="C254" t="s">
        <v>12</v>
      </c>
      <c r="D254" t="s">
        <v>23</v>
      </c>
      <c r="E254" t="s">
        <v>33</v>
      </c>
      <c r="F254" t="s">
        <v>29</v>
      </c>
      <c r="G254">
        <v>3624</v>
      </c>
      <c r="H254">
        <v>353</v>
      </c>
      <c r="I254">
        <v>73</v>
      </c>
      <c r="J254" s="5">
        <v>12337</v>
      </c>
      <c r="K254" s="4">
        <v>560</v>
      </c>
      <c r="L254" s="6">
        <v>45771</v>
      </c>
      <c r="M254" s="7">
        <f t="shared" si="9"/>
        <v>9.7406181015452536E-2</v>
      </c>
      <c r="N254" s="7">
        <f t="shared" si="10"/>
        <v>0.20679886685552407</v>
      </c>
      <c r="O254" s="7">
        <f t="shared" si="11"/>
        <v>21.030357142857142</v>
      </c>
    </row>
    <row r="255" spans="1:15" x14ac:dyDescent="0.35">
      <c r="A255">
        <v>254</v>
      </c>
      <c r="B255">
        <v>42</v>
      </c>
      <c r="C255" t="s">
        <v>12</v>
      </c>
      <c r="D255" t="s">
        <v>27</v>
      </c>
      <c r="E255" t="s">
        <v>30</v>
      </c>
      <c r="F255" t="s">
        <v>22</v>
      </c>
      <c r="G255">
        <v>1203</v>
      </c>
      <c r="H255">
        <v>112</v>
      </c>
      <c r="I255">
        <v>77</v>
      </c>
      <c r="J255" s="5">
        <v>9240</v>
      </c>
      <c r="K255" s="4">
        <v>1384</v>
      </c>
      <c r="L255" s="6">
        <v>45774</v>
      </c>
      <c r="M255" s="7">
        <f t="shared" si="9"/>
        <v>9.3100581878636748E-2</v>
      </c>
      <c r="N255" s="7">
        <f t="shared" si="10"/>
        <v>0.6875</v>
      </c>
      <c r="O255" s="7">
        <f t="shared" si="11"/>
        <v>5.6763005780346818</v>
      </c>
    </row>
    <row r="256" spans="1:15" x14ac:dyDescent="0.35">
      <c r="A256">
        <v>255</v>
      </c>
      <c r="B256">
        <v>23</v>
      </c>
      <c r="C256" t="s">
        <v>12</v>
      </c>
      <c r="D256" t="s">
        <v>20</v>
      </c>
      <c r="E256" t="s">
        <v>33</v>
      </c>
      <c r="F256" t="s">
        <v>31</v>
      </c>
      <c r="G256">
        <v>3730</v>
      </c>
      <c r="H256">
        <v>373</v>
      </c>
      <c r="I256">
        <v>8</v>
      </c>
      <c r="J256" s="5">
        <v>784</v>
      </c>
      <c r="K256" s="4">
        <v>1837</v>
      </c>
      <c r="L256" s="6">
        <v>45739</v>
      </c>
      <c r="M256" s="7">
        <f t="shared" si="9"/>
        <v>0.1</v>
      </c>
      <c r="N256" s="7">
        <f t="shared" si="10"/>
        <v>2.1447721179624665E-2</v>
      </c>
      <c r="O256" s="7">
        <f t="shared" si="11"/>
        <v>-0.57321720195971693</v>
      </c>
    </row>
    <row r="257" spans="1:15" x14ac:dyDescent="0.35">
      <c r="A257">
        <v>256</v>
      </c>
      <c r="B257">
        <v>24</v>
      </c>
      <c r="C257" t="s">
        <v>19</v>
      </c>
      <c r="D257" t="s">
        <v>13</v>
      </c>
      <c r="E257" t="s">
        <v>30</v>
      </c>
      <c r="F257" t="s">
        <v>29</v>
      </c>
      <c r="G257">
        <v>1500</v>
      </c>
      <c r="H257">
        <v>328</v>
      </c>
      <c r="I257">
        <v>79</v>
      </c>
      <c r="J257" s="5">
        <v>13193</v>
      </c>
      <c r="K257" s="4">
        <v>1864</v>
      </c>
      <c r="L257" s="6">
        <v>45742</v>
      </c>
      <c r="M257" s="7">
        <f t="shared" si="9"/>
        <v>0.21866666666666668</v>
      </c>
      <c r="N257" s="7">
        <f t="shared" si="10"/>
        <v>0.24085365853658536</v>
      </c>
      <c r="O257" s="7">
        <f t="shared" si="11"/>
        <v>6.0777896995708156</v>
      </c>
    </row>
    <row r="258" spans="1:15" x14ac:dyDescent="0.35">
      <c r="A258">
        <v>257</v>
      </c>
      <c r="B258">
        <v>36</v>
      </c>
      <c r="C258" t="s">
        <v>12</v>
      </c>
      <c r="D258" t="s">
        <v>27</v>
      </c>
      <c r="E258" t="s">
        <v>30</v>
      </c>
      <c r="F258" t="s">
        <v>18</v>
      </c>
      <c r="G258">
        <v>4226</v>
      </c>
      <c r="H258">
        <v>114</v>
      </c>
      <c r="I258">
        <v>75</v>
      </c>
      <c r="J258" s="5">
        <v>7500</v>
      </c>
      <c r="K258" s="4">
        <v>342</v>
      </c>
      <c r="L258" s="6">
        <v>45690</v>
      </c>
      <c r="M258" s="7">
        <f t="shared" si="9"/>
        <v>2.6975863700899196E-2</v>
      </c>
      <c r="N258" s="7">
        <f t="shared" si="10"/>
        <v>0.65789473684210531</v>
      </c>
      <c r="O258" s="7">
        <f t="shared" si="11"/>
        <v>20.92982456140351</v>
      </c>
    </row>
    <row r="259" spans="1:15" x14ac:dyDescent="0.35">
      <c r="A259">
        <v>258</v>
      </c>
      <c r="B259">
        <v>28</v>
      </c>
      <c r="C259" t="s">
        <v>19</v>
      </c>
      <c r="D259" t="s">
        <v>26</v>
      </c>
      <c r="E259" t="s">
        <v>24</v>
      </c>
      <c r="F259" t="s">
        <v>15</v>
      </c>
      <c r="G259">
        <v>4900</v>
      </c>
      <c r="H259">
        <v>273</v>
      </c>
      <c r="I259">
        <v>39</v>
      </c>
      <c r="J259" s="5">
        <v>6591</v>
      </c>
      <c r="K259" s="4">
        <v>301</v>
      </c>
      <c r="L259" s="6">
        <v>45729</v>
      </c>
      <c r="M259" s="7">
        <f t="shared" ref="M259:M322" si="12">H259/G259</f>
        <v>5.5714285714285716E-2</v>
      </c>
      <c r="N259" s="7">
        <f t="shared" ref="N259:N322" si="13">I259/H259</f>
        <v>0.14285714285714285</v>
      </c>
      <c r="O259" s="7">
        <f t="shared" ref="O259:O322" si="14">(J259-K259)/K259</f>
        <v>20.897009966777407</v>
      </c>
    </row>
    <row r="260" spans="1:15" x14ac:dyDescent="0.35">
      <c r="A260">
        <v>259</v>
      </c>
      <c r="B260">
        <v>43</v>
      </c>
      <c r="C260" t="s">
        <v>12</v>
      </c>
      <c r="D260" t="s">
        <v>27</v>
      </c>
      <c r="E260" t="s">
        <v>17</v>
      </c>
      <c r="F260" t="s">
        <v>29</v>
      </c>
      <c r="G260">
        <v>3389</v>
      </c>
      <c r="H260">
        <v>499</v>
      </c>
      <c r="I260">
        <v>50</v>
      </c>
      <c r="J260" s="5">
        <v>8200</v>
      </c>
      <c r="K260" s="4">
        <v>1226</v>
      </c>
      <c r="L260" s="6">
        <v>45705</v>
      </c>
      <c r="M260" s="7">
        <f t="shared" si="12"/>
        <v>0.14724107406314546</v>
      </c>
      <c r="N260" s="7">
        <f t="shared" si="13"/>
        <v>0.10020040080160321</v>
      </c>
      <c r="O260" s="7">
        <f t="shared" si="14"/>
        <v>5.6884176182707993</v>
      </c>
    </row>
    <row r="261" spans="1:15" x14ac:dyDescent="0.35">
      <c r="A261">
        <v>260</v>
      </c>
      <c r="B261">
        <v>22</v>
      </c>
      <c r="C261" t="s">
        <v>12</v>
      </c>
      <c r="D261" t="s">
        <v>20</v>
      </c>
      <c r="E261" t="s">
        <v>33</v>
      </c>
      <c r="F261" t="s">
        <v>29</v>
      </c>
      <c r="G261">
        <v>3001</v>
      </c>
      <c r="H261">
        <v>461</v>
      </c>
      <c r="I261">
        <v>30</v>
      </c>
      <c r="J261" s="5">
        <v>2730</v>
      </c>
      <c r="K261" s="4">
        <v>864</v>
      </c>
      <c r="L261" s="6">
        <v>45705</v>
      </c>
      <c r="M261" s="7">
        <f t="shared" si="12"/>
        <v>0.15361546151282907</v>
      </c>
      <c r="N261" s="7">
        <f t="shared" si="13"/>
        <v>6.5075921908893705E-2</v>
      </c>
      <c r="O261" s="7">
        <f t="shared" si="14"/>
        <v>2.1597222222222223</v>
      </c>
    </row>
    <row r="262" spans="1:15" x14ac:dyDescent="0.35">
      <c r="A262">
        <v>261</v>
      </c>
      <c r="B262">
        <v>40</v>
      </c>
      <c r="C262" t="s">
        <v>12</v>
      </c>
      <c r="D262" t="s">
        <v>23</v>
      </c>
      <c r="E262" t="s">
        <v>28</v>
      </c>
      <c r="F262" t="s">
        <v>31</v>
      </c>
      <c r="G262">
        <v>3864</v>
      </c>
      <c r="H262">
        <v>349</v>
      </c>
      <c r="I262">
        <v>19</v>
      </c>
      <c r="J262" s="5">
        <v>2413</v>
      </c>
      <c r="K262" s="4">
        <v>242</v>
      </c>
      <c r="L262" s="6">
        <v>45703</v>
      </c>
      <c r="M262" s="7">
        <f t="shared" si="12"/>
        <v>9.0320910973084881E-2</v>
      </c>
      <c r="N262" s="7">
        <f t="shared" si="13"/>
        <v>5.4441260744985676E-2</v>
      </c>
      <c r="O262" s="7">
        <f t="shared" si="14"/>
        <v>8.9710743801652892</v>
      </c>
    </row>
    <row r="263" spans="1:15" x14ac:dyDescent="0.35">
      <c r="A263">
        <v>262</v>
      </c>
      <c r="B263">
        <v>40</v>
      </c>
      <c r="C263" t="s">
        <v>19</v>
      </c>
      <c r="D263" t="s">
        <v>26</v>
      </c>
      <c r="E263" t="s">
        <v>14</v>
      </c>
      <c r="F263" t="s">
        <v>18</v>
      </c>
      <c r="G263">
        <v>3045</v>
      </c>
      <c r="H263">
        <v>413</v>
      </c>
      <c r="I263">
        <v>47</v>
      </c>
      <c r="J263" s="5">
        <v>4700</v>
      </c>
      <c r="K263" s="4">
        <v>1204</v>
      </c>
      <c r="L263" s="6">
        <v>45737</v>
      </c>
      <c r="M263" s="7">
        <f t="shared" si="12"/>
        <v>0.13563218390804599</v>
      </c>
      <c r="N263" s="7">
        <f t="shared" si="13"/>
        <v>0.11380145278450363</v>
      </c>
      <c r="O263" s="7">
        <f t="shared" si="14"/>
        <v>2.903654485049834</v>
      </c>
    </row>
    <row r="264" spans="1:15" x14ac:dyDescent="0.35">
      <c r="A264">
        <v>263</v>
      </c>
      <c r="B264">
        <v>28</v>
      </c>
      <c r="C264" t="s">
        <v>12</v>
      </c>
      <c r="D264" t="s">
        <v>13</v>
      </c>
      <c r="E264" t="s">
        <v>24</v>
      </c>
      <c r="F264" t="s">
        <v>31</v>
      </c>
      <c r="G264">
        <v>2338</v>
      </c>
      <c r="H264">
        <v>166</v>
      </c>
      <c r="I264">
        <v>19</v>
      </c>
      <c r="J264" s="5">
        <v>2185</v>
      </c>
      <c r="K264" s="4">
        <v>992</v>
      </c>
      <c r="L264" s="6">
        <v>45672</v>
      </c>
      <c r="M264" s="7">
        <f t="shared" si="12"/>
        <v>7.1000855431993151E-2</v>
      </c>
      <c r="N264" s="7">
        <f t="shared" si="13"/>
        <v>0.1144578313253012</v>
      </c>
      <c r="O264" s="7">
        <f t="shared" si="14"/>
        <v>1.2026209677419355</v>
      </c>
    </row>
    <row r="265" spans="1:15" x14ac:dyDescent="0.35">
      <c r="A265">
        <v>264</v>
      </c>
      <c r="B265">
        <v>51</v>
      </c>
      <c r="C265" t="s">
        <v>19</v>
      </c>
      <c r="D265" t="s">
        <v>27</v>
      </c>
      <c r="E265" t="s">
        <v>32</v>
      </c>
      <c r="F265" t="s">
        <v>31</v>
      </c>
      <c r="G265">
        <v>4919</v>
      </c>
      <c r="H265">
        <v>326</v>
      </c>
      <c r="I265">
        <v>17</v>
      </c>
      <c r="J265" s="5">
        <v>1666</v>
      </c>
      <c r="K265" s="4">
        <v>669</v>
      </c>
      <c r="L265" s="6">
        <v>45769</v>
      </c>
      <c r="M265" s="7">
        <f t="shared" si="12"/>
        <v>6.6273632852205736E-2</v>
      </c>
      <c r="N265" s="7">
        <f t="shared" si="13"/>
        <v>5.2147239263803678E-2</v>
      </c>
      <c r="O265" s="7">
        <f t="shared" si="14"/>
        <v>1.4902840059790732</v>
      </c>
    </row>
    <row r="266" spans="1:15" x14ac:dyDescent="0.35">
      <c r="A266">
        <v>265</v>
      </c>
      <c r="B266">
        <v>45</v>
      </c>
      <c r="C266" t="s">
        <v>19</v>
      </c>
      <c r="D266" t="s">
        <v>16</v>
      </c>
      <c r="E266" t="s">
        <v>24</v>
      </c>
      <c r="F266" t="s">
        <v>31</v>
      </c>
      <c r="G266">
        <v>872</v>
      </c>
      <c r="H266">
        <v>101</v>
      </c>
      <c r="I266">
        <v>31</v>
      </c>
      <c r="J266" s="5">
        <v>5890</v>
      </c>
      <c r="K266" s="4">
        <v>1892</v>
      </c>
      <c r="L266" s="6">
        <v>45665</v>
      </c>
      <c r="M266" s="7">
        <f t="shared" si="12"/>
        <v>0.11582568807339449</v>
      </c>
      <c r="N266" s="7">
        <f t="shared" si="13"/>
        <v>0.30693069306930693</v>
      </c>
      <c r="O266" s="7">
        <f t="shared" si="14"/>
        <v>2.1131078224101478</v>
      </c>
    </row>
    <row r="267" spans="1:15" x14ac:dyDescent="0.35">
      <c r="A267">
        <v>266</v>
      </c>
      <c r="B267">
        <v>30</v>
      </c>
      <c r="C267" t="s">
        <v>12</v>
      </c>
      <c r="D267" t="s">
        <v>23</v>
      </c>
      <c r="E267" t="s">
        <v>32</v>
      </c>
      <c r="F267" t="s">
        <v>31</v>
      </c>
      <c r="G267">
        <v>605</v>
      </c>
      <c r="H267">
        <v>469</v>
      </c>
      <c r="I267">
        <v>34</v>
      </c>
      <c r="J267" s="5">
        <v>2754</v>
      </c>
      <c r="K267" s="4">
        <v>1881</v>
      </c>
      <c r="L267" s="6">
        <v>45747</v>
      </c>
      <c r="M267" s="7">
        <f t="shared" si="12"/>
        <v>0.77520661157024795</v>
      </c>
      <c r="N267" s="7">
        <f t="shared" si="13"/>
        <v>7.2494669509594878E-2</v>
      </c>
      <c r="O267" s="7">
        <f t="shared" si="14"/>
        <v>0.46411483253588515</v>
      </c>
    </row>
    <row r="268" spans="1:15" x14ac:dyDescent="0.35">
      <c r="A268">
        <v>267</v>
      </c>
      <c r="B268">
        <v>27</v>
      </c>
      <c r="C268" t="s">
        <v>12</v>
      </c>
      <c r="D268" t="s">
        <v>20</v>
      </c>
      <c r="E268" t="s">
        <v>14</v>
      </c>
      <c r="F268" t="s">
        <v>22</v>
      </c>
      <c r="G268">
        <v>3916</v>
      </c>
      <c r="H268">
        <v>399</v>
      </c>
      <c r="I268">
        <v>79</v>
      </c>
      <c r="J268" s="5">
        <v>13746</v>
      </c>
      <c r="K268" s="4">
        <v>1486</v>
      </c>
      <c r="L268" s="6">
        <v>45670</v>
      </c>
      <c r="M268" s="7">
        <f t="shared" si="12"/>
        <v>0.1018896833503575</v>
      </c>
      <c r="N268" s="7">
        <f t="shared" si="13"/>
        <v>0.19799498746867167</v>
      </c>
      <c r="O268" s="7">
        <f t="shared" si="14"/>
        <v>8.2503364737550466</v>
      </c>
    </row>
    <row r="269" spans="1:15" x14ac:dyDescent="0.35">
      <c r="A269">
        <v>268</v>
      </c>
      <c r="B269">
        <v>53</v>
      </c>
      <c r="C269" t="s">
        <v>19</v>
      </c>
      <c r="D269" t="s">
        <v>16</v>
      </c>
      <c r="E269" t="s">
        <v>32</v>
      </c>
      <c r="F269" t="s">
        <v>18</v>
      </c>
      <c r="G269">
        <v>4154</v>
      </c>
      <c r="H269">
        <v>496</v>
      </c>
      <c r="I269">
        <v>60</v>
      </c>
      <c r="J269" s="5">
        <v>7260</v>
      </c>
      <c r="K269" s="4">
        <v>1464</v>
      </c>
      <c r="L269" s="6">
        <v>45725</v>
      </c>
      <c r="M269" s="7">
        <f t="shared" si="12"/>
        <v>0.11940298507462686</v>
      </c>
      <c r="N269" s="7">
        <f t="shared" si="13"/>
        <v>0.12096774193548387</v>
      </c>
      <c r="O269" s="7">
        <f t="shared" si="14"/>
        <v>3.959016393442623</v>
      </c>
    </row>
    <row r="270" spans="1:15" x14ac:dyDescent="0.35">
      <c r="A270">
        <v>269</v>
      </c>
      <c r="B270">
        <v>30</v>
      </c>
      <c r="C270" t="s">
        <v>19</v>
      </c>
      <c r="D270" t="s">
        <v>20</v>
      </c>
      <c r="E270" t="s">
        <v>14</v>
      </c>
      <c r="F270" t="s">
        <v>18</v>
      </c>
      <c r="G270">
        <v>4457</v>
      </c>
      <c r="H270">
        <v>312</v>
      </c>
      <c r="I270">
        <v>58</v>
      </c>
      <c r="J270" s="5">
        <v>7134</v>
      </c>
      <c r="K270" s="4">
        <v>1608</v>
      </c>
      <c r="L270" s="6">
        <v>45679</v>
      </c>
      <c r="M270" s="7">
        <f t="shared" si="12"/>
        <v>7.0002243661655819E-2</v>
      </c>
      <c r="N270" s="7">
        <f t="shared" si="13"/>
        <v>0.1858974358974359</v>
      </c>
      <c r="O270" s="7">
        <f t="shared" si="14"/>
        <v>3.4365671641791047</v>
      </c>
    </row>
    <row r="271" spans="1:15" x14ac:dyDescent="0.35">
      <c r="A271">
        <v>270</v>
      </c>
      <c r="B271">
        <v>32</v>
      </c>
      <c r="C271" t="s">
        <v>12</v>
      </c>
      <c r="D271" t="s">
        <v>27</v>
      </c>
      <c r="E271" t="s">
        <v>21</v>
      </c>
      <c r="F271" t="s">
        <v>29</v>
      </c>
      <c r="G271">
        <v>1800</v>
      </c>
      <c r="H271">
        <v>263</v>
      </c>
      <c r="I271">
        <v>13</v>
      </c>
      <c r="J271" s="5">
        <v>1144</v>
      </c>
      <c r="K271" s="4">
        <v>1249</v>
      </c>
      <c r="L271" s="6">
        <v>45745</v>
      </c>
      <c r="M271" s="7">
        <f t="shared" si="12"/>
        <v>0.14611111111111111</v>
      </c>
      <c r="N271" s="7">
        <f t="shared" si="13"/>
        <v>4.9429657794676805E-2</v>
      </c>
      <c r="O271" s="7">
        <f t="shared" si="14"/>
        <v>-8.4067253803042433E-2</v>
      </c>
    </row>
    <row r="272" spans="1:15" x14ac:dyDescent="0.35">
      <c r="A272">
        <v>271</v>
      </c>
      <c r="B272">
        <v>33</v>
      </c>
      <c r="C272" t="s">
        <v>19</v>
      </c>
      <c r="D272" t="s">
        <v>20</v>
      </c>
      <c r="E272" t="s">
        <v>34</v>
      </c>
      <c r="F272" t="s">
        <v>29</v>
      </c>
      <c r="G272">
        <v>2925</v>
      </c>
      <c r="H272">
        <v>170</v>
      </c>
      <c r="I272">
        <v>46</v>
      </c>
      <c r="J272" s="5">
        <v>4738</v>
      </c>
      <c r="K272" s="4">
        <v>783</v>
      </c>
      <c r="L272" s="6">
        <v>45683</v>
      </c>
      <c r="M272" s="7">
        <f t="shared" si="12"/>
        <v>5.8119658119658121E-2</v>
      </c>
      <c r="N272" s="7">
        <f t="shared" si="13"/>
        <v>0.27058823529411763</v>
      </c>
      <c r="O272" s="7">
        <f t="shared" si="14"/>
        <v>5.0510855683269478</v>
      </c>
    </row>
    <row r="273" spans="1:15" x14ac:dyDescent="0.35">
      <c r="A273">
        <v>272</v>
      </c>
      <c r="B273">
        <v>53</v>
      </c>
      <c r="C273" t="s">
        <v>12</v>
      </c>
      <c r="D273" t="s">
        <v>20</v>
      </c>
      <c r="E273" t="s">
        <v>14</v>
      </c>
      <c r="F273" t="s">
        <v>29</v>
      </c>
      <c r="G273">
        <v>1816</v>
      </c>
      <c r="H273">
        <v>117</v>
      </c>
      <c r="I273">
        <v>54</v>
      </c>
      <c r="J273" s="5">
        <v>5292</v>
      </c>
      <c r="K273" s="4">
        <v>863</v>
      </c>
      <c r="L273" s="6">
        <v>45731</v>
      </c>
      <c r="M273" s="7">
        <f t="shared" si="12"/>
        <v>6.4427312775330398E-2</v>
      </c>
      <c r="N273" s="7">
        <f t="shared" si="13"/>
        <v>0.46153846153846156</v>
      </c>
      <c r="O273" s="7">
        <f t="shared" si="14"/>
        <v>5.1320973348783312</v>
      </c>
    </row>
    <row r="274" spans="1:15" x14ac:dyDescent="0.35">
      <c r="A274">
        <v>273</v>
      </c>
      <c r="B274">
        <v>22</v>
      </c>
      <c r="C274" t="s">
        <v>12</v>
      </c>
      <c r="D274" t="s">
        <v>26</v>
      </c>
      <c r="E274" t="s">
        <v>34</v>
      </c>
      <c r="F274" t="s">
        <v>31</v>
      </c>
      <c r="G274">
        <v>645</v>
      </c>
      <c r="H274">
        <v>452</v>
      </c>
      <c r="I274">
        <v>40</v>
      </c>
      <c r="J274" s="5">
        <v>5360</v>
      </c>
      <c r="K274" s="4">
        <v>1192</v>
      </c>
      <c r="L274" s="6">
        <v>45756</v>
      </c>
      <c r="M274" s="7">
        <f t="shared" si="12"/>
        <v>0.70077519379844966</v>
      </c>
      <c r="N274" s="7">
        <f t="shared" si="13"/>
        <v>8.8495575221238937E-2</v>
      </c>
      <c r="O274" s="7">
        <f t="shared" si="14"/>
        <v>3.4966442953020134</v>
      </c>
    </row>
    <row r="275" spans="1:15" x14ac:dyDescent="0.35">
      <c r="A275">
        <v>274</v>
      </c>
      <c r="B275">
        <v>34</v>
      </c>
      <c r="C275" t="s">
        <v>12</v>
      </c>
      <c r="D275" t="s">
        <v>13</v>
      </c>
      <c r="E275" t="s">
        <v>28</v>
      </c>
      <c r="F275" t="s">
        <v>22</v>
      </c>
      <c r="G275">
        <v>3679</v>
      </c>
      <c r="H275">
        <v>275</v>
      </c>
      <c r="I275">
        <v>37</v>
      </c>
      <c r="J275" s="5">
        <v>3700</v>
      </c>
      <c r="K275" s="4">
        <v>830</v>
      </c>
      <c r="L275" s="6">
        <v>45705</v>
      </c>
      <c r="M275" s="7">
        <f t="shared" si="12"/>
        <v>7.4748572981788525E-2</v>
      </c>
      <c r="N275" s="7">
        <f t="shared" si="13"/>
        <v>0.13454545454545455</v>
      </c>
      <c r="O275" s="7">
        <f t="shared" si="14"/>
        <v>3.4578313253012047</v>
      </c>
    </row>
    <row r="276" spans="1:15" x14ac:dyDescent="0.35">
      <c r="A276">
        <v>275</v>
      </c>
      <c r="B276">
        <v>49</v>
      </c>
      <c r="C276" t="s">
        <v>19</v>
      </c>
      <c r="D276" t="s">
        <v>20</v>
      </c>
      <c r="E276" t="s">
        <v>21</v>
      </c>
      <c r="F276" t="s">
        <v>18</v>
      </c>
      <c r="G276">
        <v>3352</v>
      </c>
      <c r="H276">
        <v>192</v>
      </c>
      <c r="I276">
        <v>39</v>
      </c>
      <c r="J276" s="5">
        <v>5850</v>
      </c>
      <c r="K276" s="4">
        <v>1187</v>
      </c>
      <c r="L276" s="6">
        <v>45730</v>
      </c>
      <c r="M276" s="7">
        <f t="shared" si="12"/>
        <v>5.7279236276849645E-2</v>
      </c>
      <c r="N276" s="7">
        <f t="shared" si="13"/>
        <v>0.203125</v>
      </c>
      <c r="O276" s="7">
        <f t="shared" si="14"/>
        <v>3.9283909014321821</v>
      </c>
    </row>
    <row r="277" spans="1:15" x14ac:dyDescent="0.35">
      <c r="A277">
        <v>276</v>
      </c>
      <c r="B277">
        <v>19</v>
      </c>
      <c r="C277" t="s">
        <v>12</v>
      </c>
      <c r="D277" t="s">
        <v>13</v>
      </c>
      <c r="E277" t="s">
        <v>24</v>
      </c>
      <c r="F277" t="s">
        <v>22</v>
      </c>
      <c r="G277">
        <v>3137</v>
      </c>
      <c r="H277">
        <v>126</v>
      </c>
      <c r="I277">
        <v>61</v>
      </c>
      <c r="J277" s="5">
        <v>6344</v>
      </c>
      <c r="K277" s="4">
        <v>1477</v>
      </c>
      <c r="L277" s="6">
        <v>45664</v>
      </c>
      <c r="M277" s="7">
        <f t="shared" si="12"/>
        <v>4.0165763468281795E-2</v>
      </c>
      <c r="N277" s="7">
        <f t="shared" si="13"/>
        <v>0.48412698412698413</v>
      </c>
      <c r="O277" s="7">
        <f t="shared" si="14"/>
        <v>3.2951929587000679</v>
      </c>
    </row>
    <row r="278" spans="1:15" x14ac:dyDescent="0.35">
      <c r="A278">
        <v>277</v>
      </c>
      <c r="B278">
        <v>28</v>
      </c>
      <c r="C278" t="s">
        <v>19</v>
      </c>
      <c r="D278" t="s">
        <v>26</v>
      </c>
      <c r="E278" t="s">
        <v>14</v>
      </c>
      <c r="F278" t="s">
        <v>29</v>
      </c>
      <c r="G278">
        <v>4229</v>
      </c>
      <c r="H278">
        <v>372</v>
      </c>
      <c r="I278">
        <v>46</v>
      </c>
      <c r="J278" s="5">
        <v>5428</v>
      </c>
      <c r="K278" s="4">
        <v>1597</v>
      </c>
      <c r="L278" s="6">
        <v>45681</v>
      </c>
      <c r="M278" s="7">
        <f t="shared" si="12"/>
        <v>8.7964057696855044E-2</v>
      </c>
      <c r="N278" s="7">
        <f t="shared" si="13"/>
        <v>0.12365591397849462</v>
      </c>
      <c r="O278" s="7">
        <f t="shared" si="14"/>
        <v>2.3988728866624922</v>
      </c>
    </row>
    <row r="279" spans="1:15" x14ac:dyDescent="0.35">
      <c r="A279">
        <v>278</v>
      </c>
      <c r="B279">
        <v>49</v>
      </c>
      <c r="C279" t="s">
        <v>19</v>
      </c>
      <c r="D279" t="s">
        <v>16</v>
      </c>
      <c r="E279" t="s">
        <v>14</v>
      </c>
      <c r="F279" t="s">
        <v>31</v>
      </c>
      <c r="G279">
        <v>2849</v>
      </c>
      <c r="H279">
        <v>68</v>
      </c>
      <c r="I279">
        <v>72</v>
      </c>
      <c r="J279" s="5">
        <v>13032</v>
      </c>
      <c r="K279" s="4">
        <v>1441</v>
      </c>
      <c r="L279" s="6">
        <v>45766</v>
      </c>
      <c r="M279" s="7">
        <f t="shared" si="12"/>
        <v>2.3868023868023867E-2</v>
      </c>
      <c r="N279" s="7">
        <f t="shared" si="13"/>
        <v>1.0588235294117647</v>
      </c>
      <c r="O279" s="7">
        <f t="shared" si="14"/>
        <v>8.0437196391394856</v>
      </c>
    </row>
    <row r="280" spans="1:15" x14ac:dyDescent="0.35">
      <c r="A280">
        <v>279</v>
      </c>
      <c r="B280">
        <v>50</v>
      </c>
      <c r="C280" t="s">
        <v>12</v>
      </c>
      <c r="D280" t="s">
        <v>26</v>
      </c>
      <c r="E280" t="s">
        <v>28</v>
      </c>
      <c r="F280" t="s">
        <v>15</v>
      </c>
      <c r="G280">
        <v>4631</v>
      </c>
      <c r="H280">
        <v>281</v>
      </c>
      <c r="I280">
        <v>40</v>
      </c>
      <c r="J280" s="5">
        <v>3480</v>
      </c>
      <c r="K280" s="4">
        <v>272</v>
      </c>
      <c r="L280" s="6">
        <v>45698</v>
      </c>
      <c r="M280" s="7">
        <f t="shared" si="12"/>
        <v>6.0678039300367088E-2</v>
      </c>
      <c r="N280" s="7">
        <f t="shared" si="13"/>
        <v>0.14234875444839859</v>
      </c>
      <c r="O280" s="7">
        <f t="shared" si="14"/>
        <v>11.794117647058824</v>
      </c>
    </row>
    <row r="281" spans="1:15" x14ac:dyDescent="0.35">
      <c r="A281">
        <v>280</v>
      </c>
      <c r="B281">
        <v>19</v>
      </c>
      <c r="C281" t="s">
        <v>12</v>
      </c>
      <c r="D281" t="s">
        <v>27</v>
      </c>
      <c r="E281" t="s">
        <v>25</v>
      </c>
      <c r="F281" t="s">
        <v>31</v>
      </c>
      <c r="G281">
        <v>3546</v>
      </c>
      <c r="H281">
        <v>245</v>
      </c>
      <c r="I281">
        <v>17</v>
      </c>
      <c r="J281" s="5">
        <v>2363</v>
      </c>
      <c r="K281" s="4">
        <v>760</v>
      </c>
      <c r="L281" s="6">
        <v>45701</v>
      </c>
      <c r="M281" s="7">
        <f t="shared" si="12"/>
        <v>6.9091934574168082E-2</v>
      </c>
      <c r="N281" s="7">
        <f t="shared" si="13"/>
        <v>6.9387755102040816E-2</v>
      </c>
      <c r="O281" s="7">
        <f t="shared" si="14"/>
        <v>2.1092105263157896</v>
      </c>
    </row>
    <row r="282" spans="1:15" x14ac:dyDescent="0.35">
      <c r="A282">
        <v>281</v>
      </c>
      <c r="B282">
        <v>25</v>
      </c>
      <c r="C282" t="s">
        <v>12</v>
      </c>
      <c r="D282" t="s">
        <v>20</v>
      </c>
      <c r="E282" t="s">
        <v>33</v>
      </c>
      <c r="F282" t="s">
        <v>31</v>
      </c>
      <c r="G282">
        <v>4110</v>
      </c>
      <c r="H282">
        <v>209</v>
      </c>
      <c r="I282">
        <v>25</v>
      </c>
      <c r="J282" s="5">
        <v>4525</v>
      </c>
      <c r="K282" s="4">
        <v>975</v>
      </c>
      <c r="L282" s="6">
        <v>45724</v>
      </c>
      <c r="M282" s="7">
        <f t="shared" si="12"/>
        <v>5.0851581508515813E-2</v>
      </c>
      <c r="N282" s="7">
        <f t="shared" si="13"/>
        <v>0.11961722488038277</v>
      </c>
      <c r="O282" s="7">
        <f t="shared" si="14"/>
        <v>3.641025641025641</v>
      </c>
    </row>
    <row r="283" spans="1:15" x14ac:dyDescent="0.35">
      <c r="A283">
        <v>282</v>
      </c>
      <c r="B283">
        <v>23</v>
      </c>
      <c r="C283" t="s">
        <v>12</v>
      </c>
      <c r="D283" t="s">
        <v>16</v>
      </c>
      <c r="E283" t="s">
        <v>33</v>
      </c>
      <c r="F283" t="s">
        <v>29</v>
      </c>
      <c r="G283">
        <v>3561</v>
      </c>
      <c r="H283">
        <v>349</v>
      </c>
      <c r="I283">
        <v>62</v>
      </c>
      <c r="J283" s="5">
        <v>10230</v>
      </c>
      <c r="K283" s="4">
        <v>1482</v>
      </c>
      <c r="L283" s="6">
        <v>45744</v>
      </c>
      <c r="M283" s="7">
        <f t="shared" si="12"/>
        <v>9.8006178039876435E-2</v>
      </c>
      <c r="N283" s="7">
        <f t="shared" si="13"/>
        <v>0.17765042979942694</v>
      </c>
      <c r="O283" s="7">
        <f t="shared" si="14"/>
        <v>5.902834008097166</v>
      </c>
    </row>
    <row r="284" spans="1:15" x14ac:dyDescent="0.35">
      <c r="A284">
        <v>283</v>
      </c>
      <c r="B284">
        <v>47</v>
      </c>
      <c r="C284" t="s">
        <v>12</v>
      </c>
      <c r="D284" t="s">
        <v>20</v>
      </c>
      <c r="E284" t="s">
        <v>32</v>
      </c>
      <c r="F284" t="s">
        <v>22</v>
      </c>
      <c r="G284">
        <v>3317</v>
      </c>
      <c r="H284">
        <v>151</v>
      </c>
      <c r="I284">
        <v>39</v>
      </c>
      <c r="J284" s="5">
        <v>6474</v>
      </c>
      <c r="K284" s="4">
        <v>553</v>
      </c>
      <c r="L284" s="6">
        <v>45665</v>
      </c>
      <c r="M284" s="7">
        <f t="shared" si="12"/>
        <v>4.5523063008742842E-2</v>
      </c>
      <c r="N284" s="7">
        <f t="shared" si="13"/>
        <v>0.25827814569536423</v>
      </c>
      <c r="O284" s="7">
        <f t="shared" si="14"/>
        <v>10.707052441229656</v>
      </c>
    </row>
    <row r="285" spans="1:15" x14ac:dyDescent="0.35">
      <c r="A285">
        <v>284</v>
      </c>
      <c r="B285">
        <v>30</v>
      </c>
      <c r="C285" t="s">
        <v>12</v>
      </c>
      <c r="D285" t="s">
        <v>20</v>
      </c>
      <c r="E285" t="s">
        <v>30</v>
      </c>
      <c r="F285" t="s">
        <v>31</v>
      </c>
      <c r="G285">
        <v>1161</v>
      </c>
      <c r="H285">
        <v>349</v>
      </c>
      <c r="I285">
        <v>62</v>
      </c>
      <c r="J285" s="5">
        <v>9176</v>
      </c>
      <c r="K285" s="4">
        <v>1771</v>
      </c>
      <c r="L285" s="6">
        <v>45712</v>
      </c>
      <c r="M285" s="7">
        <f t="shared" si="12"/>
        <v>0.30060292850990528</v>
      </c>
      <c r="N285" s="7">
        <f t="shared" si="13"/>
        <v>0.17765042979942694</v>
      </c>
      <c r="O285" s="7">
        <f t="shared" si="14"/>
        <v>4.1812535290796164</v>
      </c>
    </row>
    <row r="286" spans="1:15" x14ac:dyDescent="0.35">
      <c r="A286">
        <v>285</v>
      </c>
      <c r="B286">
        <v>33</v>
      </c>
      <c r="C286" t="s">
        <v>12</v>
      </c>
      <c r="D286" t="s">
        <v>13</v>
      </c>
      <c r="E286" t="s">
        <v>34</v>
      </c>
      <c r="F286" t="s">
        <v>22</v>
      </c>
      <c r="G286">
        <v>707</v>
      </c>
      <c r="H286">
        <v>155</v>
      </c>
      <c r="I286">
        <v>66</v>
      </c>
      <c r="J286" s="5">
        <v>8844</v>
      </c>
      <c r="K286" s="4">
        <v>869</v>
      </c>
      <c r="L286" s="6">
        <v>45673</v>
      </c>
      <c r="M286" s="7">
        <f t="shared" si="12"/>
        <v>0.21923620933521923</v>
      </c>
      <c r="N286" s="7">
        <f t="shared" si="13"/>
        <v>0.4258064516129032</v>
      </c>
      <c r="O286" s="7">
        <f t="shared" si="14"/>
        <v>9.1772151898734169</v>
      </c>
    </row>
    <row r="287" spans="1:15" x14ac:dyDescent="0.35">
      <c r="A287">
        <v>286</v>
      </c>
      <c r="B287">
        <v>40</v>
      </c>
      <c r="C287" t="s">
        <v>19</v>
      </c>
      <c r="D287" t="s">
        <v>13</v>
      </c>
      <c r="E287" t="s">
        <v>24</v>
      </c>
      <c r="F287" t="s">
        <v>29</v>
      </c>
      <c r="G287">
        <v>2431</v>
      </c>
      <c r="H287">
        <v>185</v>
      </c>
      <c r="I287">
        <v>7</v>
      </c>
      <c r="J287" s="5">
        <v>763</v>
      </c>
      <c r="K287" s="4">
        <v>1879</v>
      </c>
      <c r="L287" s="6">
        <v>45761</v>
      </c>
      <c r="M287" s="7">
        <f t="shared" si="12"/>
        <v>7.6100370218017271E-2</v>
      </c>
      <c r="N287" s="7">
        <f t="shared" si="13"/>
        <v>3.783783783783784E-2</v>
      </c>
      <c r="O287" s="7">
        <f t="shared" si="14"/>
        <v>-0.59393294305481636</v>
      </c>
    </row>
    <row r="288" spans="1:15" x14ac:dyDescent="0.35">
      <c r="A288">
        <v>287</v>
      </c>
      <c r="B288">
        <v>38</v>
      </c>
      <c r="C288" t="s">
        <v>12</v>
      </c>
      <c r="D288" t="s">
        <v>20</v>
      </c>
      <c r="E288" t="s">
        <v>32</v>
      </c>
      <c r="F288" t="s">
        <v>29</v>
      </c>
      <c r="G288">
        <v>2040</v>
      </c>
      <c r="H288">
        <v>409</v>
      </c>
      <c r="I288">
        <v>69</v>
      </c>
      <c r="J288" s="5">
        <v>7521</v>
      </c>
      <c r="K288" s="4">
        <v>1856</v>
      </c>
      <c r="L288" s="6">
        <v>45727</v>
      </c>
      <c r="M288" s="7">
        <f t="shared" si="12"/>
        <v>0.20049019607843138</v>
      </c>
      <c r="N288" s="7">
        <f t="shared" si="13"/>
        <v>0.1687041564792176</v>
      </c>
      <c r="O288" s="7">
        <f t="shared" si="14"/>
        <v>3.0522629310344827</v>
      </c>
    </row>
    <row r="289" spans="1:15" x14ac:dyDescent="0.35">
      <c r="A289">
        <v>288</v>
      </c>
      <c r="B289">
        <v>29</v>
      </c>
      <c r="C289" t="s">
        <v>12</v>
      </c>
      <c r="D289" t="s">
        <v>27</v>
      </c>
      <c r="E289" t="s">
        <v>28</v>
      </c>
      <c r="F289" t="s">
        <v>29</v>
      </c>
      <c r="G289">
        <v>2266</v>
      </c>
      <c r="H289">
        <v>337</v>
      </c>
      <c r="I289">
        <v>37</v>
      </c>
      <c r="J289" s="5">
        <v>3515</v>
      </c>
      <c r="K289" s="4">
        <v>1212</v>
      </c>
      <c r="L289" s="6">
        <v>45773</v>
      </c>
      <c r="M289" s="7">
        <f t="shared" si="12"/>
        <v>0.14872021182700795</v>
      </c>
      <c r="N289" s="7">
        <f t="shared" si="13"/>
        <v>0.10979228486646884</v>
      </c>
      <c r="O289" s="7">
        <f t="shared" si="14"/>
        <v>1.9001650165016502</v>
      </c>
    </row>
    <row r="290" spans="1:15" x14ac:dyDescent="0.35">
      <c r="A290">
        <v>289</v>
      </c>
      <c r="B290">
        <v>19</v>
      </c>
      <c r="C290" t="s">
        <v>19</v>
      </c>
      <c r="D290" t="s">
        <v>27</v>
      </c>
      <c r="E290" t="s">
        <v>30</v>
      </c>
      <c r="F290" t="s">
        <v>29</v>
      </c>
      <c r="G290">
        <v>3285</v>
      </c>
      <c r="H290">
        <v>191</v>
      </c>
      <c r="I290">
        <v>40</v>
      </c>
      <c r="J290" s="5">
        <v>4080</v>
      </c>
      <c r="K290" s="4">
        <v>680</v>
      </c>
      <c r="L290" s="6">
        <v>45742</v>
      </c>
      <c r="M290" s="7">
        <f t="shared" si="12"/>
        <v>5.8143074581430747E-2</v>
      </c>
      <c r="N290" s="7">
        <f t="shared" si="13"/>
        <v>0.20942408376963351</v>
      </c>
      <c r="O290" s="7">
        <f t="shared" si="14"/>
        <v>5</v>
      </c>
    </row>
    <row r="291" spans="1:15" x14ac:dyDescent="0.35">
      <c r="A291">
        <v>290</v>
      </c>
      <c r="B291">
        <v>20</v>
      </c>
      <c r="C291" t="s">
        <v>19</v>
      </c>
      <c r="D291" t="s">
        <v>16</v>
      </c>
      <c r="E291" t="s">
        <v>32</v>
      </c>
      <c r="F291" t="s">
        <v>22</v>
      </c>
      <c r="G291">
        <v>3317</v>
      </c>
      <c r="H291">
        <v>298</v>
      </c>
      <c r="I291">
        <v>77</v>
      </c>
      <c r="J291" s="5">
        <v>11858</v>
      </c>
      <c r="K291" s="4">
        <v>648</v>
      </c>
      <c r="L291" s="6">
        <v>45719</v>
      </c>
      <c r="M291" s="7">
        <f t="shared" si="12"/>
        <v>8.9840217063611699E-2</v>
      </c>
      <c r="N291" s="7">
        <f t="shared" si="13"/>
        <v>0.25838926174496646</v>
      </c>
      <c r="O291" s="7">
        <f t="shared" si="14"/>
        <v>17.299382716049383</v>
      </c>
    </row>
    <row r="292" spans="1:15" x14ac:dyDescent="0.35">
      <c r="A292">
        <v>291</v>
      </c>
      <c r="B292">
        <v>39</v>
      </c>
      <c r="C292" t="s">
        <v>19</v>
      </c>
      <c r="D292" t="s">
        <v>27</v>
      </c>
      <c r="E292" t="s">
        <v>28</v>
      </c>
      <c r="F292" t="s">
        <v>31</v>
      </c>
      <c r="G292">
        <v>2189</v>
      </c>
      <c r="H292">
        <v>245</v>
      </c>
      <c r="I292">
        <v>59</v>
      </c>
      <c r="J292" s="5">
        <v>6726</v>
      </c>
      <c r="K292" s="4">
        <v>461</v>
      </c>
      <c r="L292" s="6">
        <v>45717</v>
      </c>
      <c r="M292" s="7">
        <f t="shared" si="12"/>
        <v>0.11192325262677022</v>
      </c>
      <c r="N292" s="7">
        <f t="shared" si="13"/>
        <v>0.24081632653061225</v>
      </c>
      <c r="O292" s="7">
        <f t="shared" si="14"/>
        <v>13.59002169197397</v>
      </c>
    </row>
    <row r="293" spans="1:15" x14ac:dyDescent="0.35">
      <c r="A293">
        <v>292</v>
      </c>
      <c r="B293">
        <v>35</v>
      </c>
      <c r="C293" t="s">
        <v>19</v>
      </c>
      <c r="D293" t="s">
        <v>23</v>
      </c>
      <c r="E293" t="s">
        <v>24</v>
      </c>
      <c r="F293" t="s">
        <v>31</v>
      </c>
      <c r="G293">
        <v>743</v>
      </c>
      <c r="H293">
        <v>61</v>
      </c>
      <c r="I293">
        <v>53</v>
      </c>
      <c r="J293" s="5">
        <v>6201</v>
      </c>
      <c r="K293" s="4">
        <v>241</v>
      </c>
      <c r="L293" s="6">
        <v>45687</v>
      </c>
      <c r="M293" s="7">
        <f t="shared" si="12"/>
        <v>8.2099596231493946E-2</v>
      </c>
      <c r="N293" s="7">
        <f t="shared" si="13"/>
        <v>0.86885245901639341</v>
      </c>
      <c r="O293" s="7">
        <f t="shared" si="14"/>
        <v>24.730290456431536</v>
      </c>
    </row>
    <row r="294" spans="1:15" x14ac:dyDescent="0.35">
      <c r="A294">
        <v>293</v>
      </c>
      <c r="B294">
        <v>24</v>
      </c>
      <c r="C294" t="s">
        <v>19</v>
      </c>
      <c r="D294" t="s">
        <v>16</v>
      </c>
      <c r="E294" t="s">
        <v>32</v>
      </c>
      <c r="F294" t="s">
        <v>15</v>
      </c>
      <c r="G294">
        <v>3787</v>
      </c>
      <c r="H294">
        <v>207</v>
      </c>
      <c r="I294">
        <v>10</v>
      </c>
      <c r="J294" s="5">
        <v>1590</v>
      </c>
      <c r="K294" s="4">
        <v>1290</v>
      </c>
      <c r="L294" s="6">
        <v>45671</v>
      </c>
      <c r="M294" s="7">
        <f t="shared" si="12"/>
        <v>5.4660681278056511E-2</v>
      </c>
      <c r="N294" s="7">
        <f t="shared" si="13"/>
        <v>4.8309178743961352E-2</v>
      </c>
      <c r="O294" s="7">
        <f t="shared" si="14"/>
        <v>0.23255813953488372</v>
      </c>
    </row>
    <row r="295" spans="1:15" x14ac:dyDescent="0.35">
      <c r="A295">
        <v>294</v>
      </c>
      <c r="B295">
        <v>44</v>
      </c>
      <c r="C295" t="s">
        <v>12</v>
      </c>
      <c r="D295" t="s">
        <v>27</v>
      </c>
      <c r="E295" t="s">
        <v>33</v>
      </c>
      <c r="F295" t="s">
        <v>18</v>
      </c>
      <c r="G295">
        <v>572</v>
      </c>
      <c r="H295">
        <v>448</v>
      </c>
      <c r="I295">
        <v>25</v>
      </c>
      <c r="J295" s="5">
        <v>3625</v>
      </c>
      <c r="K295" s="4">
        <v>1898</v>
      </c>
      <c r="L295" s="6">
        <v>45692</v>
      </c>
      <c r="M295" s="7">
        <f t="shared" si="12"/>
        <v>0.78321678321678323</v>
      </c>
      <c r="N295" s="7">
        <f t="shared" si="13"/>
        <v>5.5803571428571432E-2</v>
      </c>
      <c r="O295" s="7">
        <f t="shared" si="14"/>
        <v>0.90990516332982085</v>
      </c>
    </row>
    <row r="296" spans="1:15" x14ac:dyDescent="0.35">
      <c r="A296">
        <v>295</v>
      </c>
      <c r="B296">
        <v>50</v>
      </c>
      <c r="C296" t="s">
        <v>12</v>
      </c>
      <c r="D296" t="s">
        <v>20</v>
      </c>
      <c r="E296" t="s">
        <v>32</v>
      </c>
      <c r="F296" t="s">
        <v>22</v>
      </c>
      <c r="G296">
        <v>4861</v>
      </c>
      <c r="H296">
        <v>74</v>
      </c>
      <c r="I296">
        <v>70</v>
      </c>
      <c r="J296" s="5">
        <v>9310</v>
      </c>
      <c r="K296" s="4">
        <v>992</v>
      </c>
      <c r="L296" s="6">
        <v>45752</v>
      </c>
      <c r="M296" s="7">
        <f t="shared" si="12"/>
        <v>1.52232051018309E-2</v>
      </c>
      <c r="N296" s="7">
        <f t="shared" si="13"/>
        <v>0.94594594594594594</v>
      </c>
      <c r="O296" s="7">
        <f t="shared" si="14"/>
        <v>8.38508064516129</v>
      </c>
    </row>
    <row r="297" spans="1:15" x14ac:dyDescent="0.35">
      <c r="A297">
        <v>296</v>
      </c>
      <c r="B297">
        <v>20</v>
      </c>
      <c r="C297" t="s">
        <v>12</v>
      </c>
      <c r="D297" t="s">
        <v>13</v>
      </c>
      <c r="E297" t="s">
        <v>24</v>
      </c>
      <c r="F297" t="s">
        <v>18</v>
      </c>
      <c r="G297">
        <v>1633</v>
      </c>
      <c r="H297">
        <v>385</v>
      </c>
      <c r="I297">
        <v>58</v>
      </c>
      <c r="J297" s="5">
        <v>7598</v>
      </c>
      <c r="K297" s="4">
        <v>437</v>
      </c>
      <c r="L297" s="6">
        <v>45698</v>
      </c>
      <c r="M297" s="7">
        <f t="shared" si="12"/>
        <v>0.23576240048989588</v>
      </c>
      <c r="N297" s="7">
        <f t="shared" si="13"/>
        <v>0.15064935064935064</v>
      </c>
      <c r="O297" s="7">
        <f t="shared" si="14"/>
        <v>16.386727688787186</v>
      </c>
    </row>
    <row r="298" spans="1:15" x14ac:dyDescent="0.35">
      <c r="A298">
        <v>297</v>
      </c>
      <c r="B298">
        <v>21</v>
      </c>
      <c r="C298" t="s">
        <v>19</v>
      </c>
      <c r="D298" t="s">
        <v>13</v>
      </c>
      <c r="E298" t="s">
        <v>30</v>
      </c>
      <c r="F298" t="s">
        <v>29</v>
      </c>
      <c r="G298">
        <v>1548</v>
      </c>
      <c r="H298">
        <v>190</v>
      </c>
      <c r="I298">
        <v>12</v>
      </c>
      <c r="J298" s="5">
        <v>2124</v>
      </c>
      <c r="K298" s="4">
        <v>1116</v>
      </c>
      <c r="L298" s="6">
        <v>45736</v>
      </c>
      <c r="M298" s="7">
        <f t="shared" si="12"/>
        <v>0.1227390180878553</v>
      </c>
      <c r="N298" s="7">
        <f t="shared" si="13"/>
        <v>6.3157894736842107E-2</v>
      </c>
      <c r="O298" s="7">
        <f t="shared" si="14"/>
        <v>0.90322580645161288</v>
      </c>
    </row>
    <row r="299" spans="1:15" x14ac:dyDescent="0.35">
      <c r="A299">
        <v>298</v>
      </c>
      <c r="B299">
        <v>37</v>
      </c>
      <c r="C299" t="s">
        <v>12</v>
      </c>
      <c r="D299" t="s">
        <v>13</v>
      </c>
      <c r="E299" t="s">
        <v>33</v>
      </c>
      <c r="F299" t="s">
        <v>29</v>
      </c>
      <c r="G299">
        <v>4723</v>
      </c>
      <c r="H299">
        <v>145</v>
      </c>
      <c r="I299">
        <v>17</v>
      </c>
      <c r="J299" s="5">
        <v>2669</v>
      </c>
      <c r="K299" s="4">
        <v>742</v>
      </c>
      <c r="L299" s="6">
        <v>45750</v>
      </c>
      <c r="M299" s="7">
        <f t="shared" si="12"/>
        <v>3.0700825746347662E-2</v>
      </c>
      <c r="N299" s="7">
        <f t="shared" si="13"/>
        <v>0.11724137931034483</v>
      </c>
      <c r="O299" s="7">
        <f t="shared" si="14"/>
        <v>2.5970350404312668</v>
      </c>
    </row>
    <row r="300" spans="1:15" x14ac:dyDescent="0.35">
      <c r="A300">
        <v>299</v>
      </c>
      <c r="B300">
        <v>40</v>
      </c>
      <c r="C300" t="s">
        <v>19</v>
      </c>
      <c r="D300" t="s">
        <v>23</v>
      </c>
      <c r="E300" t="s">
        <v>24</v>
      </c>
      <c r="F300" t="s">
        <v>15</v>
      </c>
      <c r="G300">
        <v>2994</v>
      </c>
      <c r="H300">
        <v>439</v>
      </c>
      <c r="I300">
        <v>36</v>
      </c>
      <c r="J300" s="5">
        <v>2916</v>
      </c>
      <c r="K300" s="4">
        <v>242</v>
      </c>
      <c r="L300" s="6">
        <v>45688</v>
      </c>
      <c r="M300" s="7">
        <f t="shared" si="12"/>
        <v>0.14662658650634602</v>
      </c>
      <c r="N300" s="7">
        <f t="shared" si="13"/>
        <v>8.2004555808656038E-2</v>
      </c>
      <c r="O300" s="7">
        <f t="shared" si="14"/>
        <v>11.049586776859504</v>
      </c>
    </row>
    <row r="301" spans="1:15" x14ac:dyDescent="0.35">
      <c r="A301">
        <v>300</v>
      </c>
      <c r="B301">
        <v>48</v>
      </c>
      <c r="C301" t="s">
        <v>19</v>
      </c>
      <c r="D301" t="s">
        <v>26</v>
      </c>
      <c r="E301" t="s">
        <v>17</v>
      </c>
      <c r="F301" t="s">
        <v>29</v>
      </c>
      <c r="G301">
        <v>2453</v>
      </c>
      <c r="H301">
        <v>315</v>
      </c>
      <c r="I301">
        <v>6</v>
      </c>
      <c r="J301" s="5">
        <v>540</v>
      </c>
      <c r="K301" s="4">
        <v>581</v>
      </c>
      <c r="L301" s="6">
        <v>45736</v>
      </c>
      <c r="M301" s="7">
        <f t="shared" si="12"/>
        <v>0.12841418671015084</v>
      </c>
      <c r="N301" s="7">
        <f t="shared" si="13"/>
        <v>1.9047619047619049E-2</v>
      </c>
      <c r="O301" s="7">
        <f t="shared" si="14"/>
        <v>-7.0567986230636828E-2</v>
      </c>
    </row>
    <row r="302" spans="1:15" x14ac:dyDescent="0.35">
      <c r="A302">
        <v>301</v>
      </c>
      <c r="B302">
        <v>26</v>
      </c>
      <c r="C302" t="s">
        <v>12</v>
      </c>
      <c r="D302" t="s">
        <v>16</v>
      </c>
      <c r="E302" t="s">
        <v>24</v>
      </c>
      <c r="F302" t="s">
        <v>29</v>
      </c>
      <c r="G302">
        <v>956</v>
      </c>
      <c r="H302">
        <v>132</v>
      </c>
      <c r="I302">
        <v>13</v>
      </c>
      <c r="J302" s="5">
        <v>1300</v>
      </c>
      <c r="K302" s="4">
        <v>1322</v>
      </c>
      <c r="L302" s="6">
        <v>45664</v>
      </c>
      <c r="M302" s="7">
        <f t="shared" si="12"/>
        <v>0.13807531380753138</v>
      </c>
      <c r="N302" s="7">
        <f t="shared" si="13"/>
        <v>9.8484848484848481E-2</v>
      </c>
      <c r="O302" s="7">
        <f t="shared" si="14"/>
        <v>-1.6641452344931921E-2</v>
      </c>
    </row>
    <row r="303" spans="1:15" x14ac:dyDescent="0.35">
      <c r="A303">
        <v>302</v>
      </c>
      <c r="B303">
        <v>34</v>
      </c>
      <c r="C303" t="s">
        <v>12</v>
      </c>
      <c r="D303" t="s">
        <v>27</v>
      </c>
      <c r="E303" t="s">
        <v>25</v>
      </c>
      <c r="F303" t="s">
        <v>29</v>
      </c>
      <c r="G303">
        <v>899</v>
      </c>
      <c r="H303">
        <v>301</v>
      </c>
      <c r="I303">
        <v>8</v>
      </c>
      <c r="J303" s="5">
        <v>1456</v>
      </c>
      <c r="K303" s="4">
        <v>1995</v>
      </c>
      <c r="L303" s="6">
        <v>45760</v>
      </c>
      <c r="M303" s="7">
        <f t="shared" si="12"/>
        <v>0.33481646273637372</v>
      </c>
      <c r="N303" s="7">
        <f t="shared" si="13"/>
        <v>2.6578073089700997E-2</v>
      </c>
      <c r="O303" s="7">
        <f t="shared" si="14"/>
        <v>-0.27017543859649124</v>
      </c>
    </row>
    <row r="304" spans="1:15" x14ac:dyDescent="0.35">
      <c r="A304">
        <v>303</v>
      </c>
      <c r="B304">
        <v>54</v>
      </c>
      <c r="C304" t="s">
        <v>19</v>
      </c>
      <c r="D304" t="s">
        <v>13</v>
      </c>
      <c r="E304" t="s">
        <v>32</v>
      </c>
      <c r="F304" t="s">
        <v>29</v>
      </c>
      <c r="G304">
        <v>1903</v>
      </c>
      <c r="H304">
        <v>357</v>
      </c>
      <c r="I304">
        <v>56</v>
      </c>
      <c r="J304" s="5">
        <v>6552</v>
      </c>
      <c r="K304" s="4">
        <v>619</v>
      </c>
      <c r="L304" s="6">
        <v>45720</v>
      </c>
      <c r="M304" s="7">
        <f t="shared" si="12"/>
        <v>0.18759852863899107</v>
      </c>
      <c r="N304" s="7">
        <f t="shared" si="13"/>
        <v>0.15686274509803921</v>
      </c>
      <c r="O304" s="7">
        <f t="shared" si="14"/>
        <v>9.5848142164781898</v>
      </c>
    </row>
    <row r="305" spans="1:15" x14ac:dyDescent="0.35">
      <c r="A305">
        <v>304</v>
      </c>
      <c r="B305">
        <v>31</v>
      </c>
      <c r="C305" t="s">
        <v>19</v>
      </c>
      <c r="D305" t="s">
        <v>20</v>
      </c>
      <c r="E305" t="s">
        <v>14</v>
      </c>
      <c r="F305" t="s">
        <v>29</v>
      </c>
      <c r="G305">
        <v>1267</v>
      </c>
      <c r="H305">
        <v>56</v>
      </c>
      <c r="I305">
        <v>31</v>
      </c>
      <c r="J305" s="5">
        <v>5115</v>
      </c>
      <c r="K305" s="4">
        <v>291</v>
      </c>
      <c r="L305" s="6">
        <v>45758</v>
      </c>
      <c r="M305" s="7">
        <f t="shared" si="12"/>
        <v>4.4198895027624308E-2</v>
      </c>
      <c r="N305" s="7">
        <f t="shared" si="13"/>
        <v>0.5535714285714286</v>
      </c>
      <c r="O305" s="7">
        <f t="shared" si="14"/>
        <v>16.577319587628867</v>
      </c>
    </row>
    <row r="306" spans="1:15" x14ac:dyDescent="0.35">
      <c r="A306">
        <v>305</v>
      </c>
      <c r="B306">
        <v>44</v>
      </c>
      <c r="C306" t="s">
        <v>12</v>
      </c>
      <c r="D306" t="s">
        <v>16</v>
      </c>
      <c r="E306" t="s">
        <v>25</v>
      </c>
      <c r="F306" t="s">
        <v>15</v>
      </c>
      <c r="G306">
        <v>3145</v>
      </c>
      <c r="H306">
        <v>182</v>
      </c>
      <c r="I306">
        <v>59</v>
      </c>
      <c r="J306" s="5">
        <v>8319</v>
      </c>
      <c r="K306" s="4">
        <v>585</v>
      </c>
      <c r="L306" s="6">
        <v>45775</v>
      </c>
      <c r="M306" s="7">
        <f t="shared" si="12"/>
        <v>5.7869634340222575E-2</v>
      </c>
      <c r="N306" s="7">
        <f t="shared" si="13"/>
        <v>0.32417582417582419</v>
      </c>
      <c r="O306" s="7">
        <f t="shared" si="14"/>
        <v>13.22051282051282</v>
      </c>
    </row>
    <row r="307" spans="1:15" x14ac:dyDescent="0.35">
      <c r="A307">
        <v>306</v>
      </c>
      <c r="B307">
        <v>18</v>
      </c>
      <c r="C307" t="s">
        <v>12</v>
      </c>
      <c r="D307" t="s">
        <v>16</v>
      </c>
      <c r="E307" t="s">
        <v>25</v>
      </c>
      <c r="F307" t="s">
        <v>15</v>
      </c>
      <c r="G307">
        <v>3208</v>
      </c>
      <c r="H307">
        <v>187</v>
      </c>
      <c r="I307">
        <v>62</v>
      </c>
      <c r="J307" s="5">
        <v>5208</v>
      </c>
      <c r="K307" s="4">
        <v>1646</v>
      </c>
      <c r="L307" s="6">
        <v>45747</v>
      </c>
      <c r="M307" s="7">
        <f t="shared" si="12"/>
        <v>5.8291770573566083E-2</v>
      </c>
      <c r="N307" s="7">
        <f t="shared" si="13"/>
        <v>0.33155080213903743</v>
      </c>
      <c r="O307" s="7">
        <f t="shared" si="14"/>
        <v>2.1640340218712031</v>
      </c>
    </row>
    <row r="308" spans="1:15" x14ac:dyDescent="0.35">
      <c r="A308">
        <v>307</v>
      </c>
      <c r="B308">
        <v>49</v>
      </c>
      <c r="C308" t="s">
        <v>12</v>
      </c>
      <c r="D308" t="s">
        <v>23</v>
      </c>
      <c r="E308" t="s">
        <v>32</v>
      </c>
      <c r="F308" t="s">
        <v>18</v>
      </c>
      <c r="G308">
        <v>741</v>
      </c>
      <c r="H308">
        <v>262</v>
      </c>
      <c r="I308">
        <v>57</v>
      </c>
      <c r="J308" s="5">
        <v>10260</v>
      </c>
      <c r="K308" s="4">
        <v>537</v>
      </c>
      <c r="L308" s="6">
        <v>45738</v>
      </c>
      <c r="M308" s="7">
        <f t="shared" si="12"/>
        <v>0.35357624831309042</v>
      </c>
      <c r="N308" s="7">
        <f t="shared" si="13"/>
        <v>0.21755725190839695</v>
      </c>
      <c r="O308" s="7">
        <f t="shared" si="14"/>
        <v>18.106145251396647</v>
      </c>
    </row>
    <row r="309" spans="1:15" x14ac:dyDescent="0.35">
      <c r="A309">
        <v>308</v>
      </c>
      <c r="B309">
        <v>43</v>
      </c>
      <c r="C309" t="s">
        <v>19</v>
      </c>
      <c r="D309" t="s">
        <v>26</v>
      </c>
      <c r="E309" t="s">
        <v>32</v>
      </c>
      <c r="F309" t="s">
        <v>22</v>
      </c>
      <c r="G309">
        <v>3542</v>
      </c>
      <c r="H309">
        <v>237</v>
      </c>
      <c r="I309">
        <v>15</v>
      </c>
      <c r="J309" s="5">
        <v>1500</v>
      </c>
      <c r="K309" s="4">
        <v>902</v>
      </c>
      <c r="L309" s="6">
        <v>45691</v>
      </c>
      <c r="M309" s="7">
        <f t="shared" si="12"/>
        <v>6.6911349520045169E-2</v>
      </c>
      <c r="N309" s="7">
        <f t="shared" si="13"/>
        <v>6.3291139240506333E-2</v>
      </c>
      <c r="O309" s="7">
        <f t="shared" si="14"/>
        <v>0.66297117516629711</v>
      </c>
    </row>
    <row r="310" spans="1:15" x14ac:dyDescent="0.35">
      <c r="A310">
        <v>309</v>
      </c>
      <c r="B310">
        <v>38</v>
      </c>
      <c r="C310" t="s">
        <v>12</v>
      </c>
      <c r="D310" t="s">
        <v>23</v>
      </c>
      <c r="E310" t="s">
        <v>21</v>
      </c>
      <c r="F310" t="s">
        <v>18</v>
      </c>
      <c r="G310">
        <v>4335</v>
      </c>
      <c r="H310">
        <v>131</v>
      </c>
      <c r="I310">
        <v>56</v>
      </c>
      <c r="J310" s="5">
        <v>6776</v>
      </c>
      <c r="K310" s="4">
        <v>1645</v>
      </c>
      <c r="L310" s="6">
        <v>45670</v>
      </c>
      <c r="M310" s="7">
        <f t="shared" si="12"/>
        <v>3.0219146482122261E-2</v>
      </c>
      <c r="N310" s="7">
        <f t="shared" si="13"/>
        <v>0.42748091603053434</v>
      </c>
      <c r="O310" s="7">
        <f t="shared" si="14"/>
        <v>3.1191489361702129</v>
      </c>
    </row>
    <row r="311" spans="1:15" x14ac:dyDescent="0.35">
      <c r="A311">
        <v>310</v>
      </c>
      <c r="B311">
        <v>26</v>
      </c>
      <c r="C311" t="s">
        <v>19</v>
      </c>
      <c r="D311" t="s">
        <v>16</v>
      </c>
      <c r="E311" t="s">
        <v>30</v>
      </c>
      <c r="F311" t="s">
        <v>31</v>
      </c>
      <c r="G311">
        <v>3172</v>
      </c>
      <c r="H311">
        <v>154</v>
      </c>
      <c r="I311">
        <v>68</v>
      </c>
      <c r="J311" s="5">
        <v>13532</v>
      </c>
      <c r="K311" s="4">
        <v>216</v>
      </c>
      <c r="L311" s="6">
        <v>45658</v>
      </c>
      <c r="M311" s="7">
        <f t="shared" si="12"/>
        <v>4.8549810844892814E-2</v>
      </c>
      <c r="N311" s="7">
        <f t="shared" si="13"/>
        <v>0.44155844155844154</v>
      </c>
      <c r="O311" s="7">
        <f t="shared" si="14"/>
        <v>61.648148148148145</v>
      </c>
    </row>
    <row r="312" spans="1:15" x14ac:dyDescent="0.35">
      <c r="A312">
        <v>311</v>
      </c>
      <c r="B312">
        <v>38</v>
      </c>
      <c r="C312" t="s">
        <v>12</v>
      </c>
      <c r="D312" t="s">
        <v>27</v>
      </c>
      <c r="E312" t="s">
        <v>14</v>
      </c>
      <c r="F312" t="s">
        <v>18</v>
      </c>
      <c r="G312">
        <v>1071</v>
      </c>
      <c r="H312">
        <v>97</v>
      </c>
      <c r="I312">
        <v>33</v>
      </c>
      <c r="J312" s="5">
        <v>2937</v>
      </c>
      <c r="K312" s="4">
        <v>1320</v>
      </c>
      <c r="L312" s="6">
        <v>45691</v>
      </c>
      <c r="M312" s="7">
        <f t="shared" si="12"/>
        <v>9.0569561157796449E-2</v>
      </c>
      <c r="N312" s="7">
        <f t="shared" si="13"/>
        <v>0.34020618556701032</v>
      </c>
      <c r="O312" s="7">
        <f t="shared" si="14"/>
        <v>1.2250000000000001</v>
      </c>
    </row>
    <row r="313" spans="1:15" x14ac:dyDescent="0.35">
      <c r="A313">
        <v>312</v>
      </c>
      <c r="B313">
        <v>34</v>
      </c>
      <c r="C313" t="s">
        <v>19</v>
      </c>
      <c r="D313" t="s">
        <v>27</v>
      </c>
      <c r="E313" t="s">
        <v>14</v>
      </c>
      <c r="F313" t="s">
        <v>31</v>
      </c>
      <c r="G313">
        <v>1275</v>
      </c>
      <c r="H313">
        <v>492</v>
      </c>
      <c r="I313">
        <v>76</v>
      </c>
      <c r="J313" s="5">
        <v>12008</v>
      </c>
      <c r="K313" s="4">
        <v>1144</v>
      </c>
      <c r="L313" s="6">
        <v>45745</v>
      </c>
      <c r="M313" s="7">
        <f t="shared" si="12"/>
        <v>0.38588235294117645</v>
      </c>
      <c r="N313" s="7">
        <f t="shared" si="13"/>
        <v>0.15447154471544716</v>
      </c>
      <c r="O313" s="7">
        <f t="shared" si="14"/>
        <v>9.4965034965034967</v>
      </c>
    </row>
    <row r="314" spans="1:15" x14ac:dyDescent="0.35">
      <c r="A314">
        <v>313</v>
      </c>
      <c r="B314">
        <v>18</v>
      </c>
      <c r="C314" t="s">
        <v>12</v>
      </c>
      <c r="D314" t="s">
        <v>16</v>
      </c>
      <c r="E314" t="s">
        <v>24</v>
      </c>
      <c r="F314" t="s">
        <v>31</v>
      </c>
      <c r="G314">
        <v>2648</v>
      </c>
      <c r="H314">
        <v>57</v>
      </c>
      <c r="I314">
        <v>76</v>
      </c>
      <c r="J314" s="5">
        <v>12616</v>
      </c>
      <c r="K314" s="4">
        <v>1728</v>
      </c>
      <c r="L314" s="6">
        <v>45681</v>
      </c>
      <c r="M314" s="7">
        <f t="shared" si="12"/>
        <v>2.1525679758308158E-2</v>
      </c>
      <c r="N314" s="7">
        <f t="shared" si="13"/>
        <v>1.3333333333333333</v>
      </c>
      <c r="O314" s="7">
        <f t="shared" si="14"/>
        <v>6.3009259259259256</v>
      </c>
    </row>
    <row r="315" spans="1:15" x14ac:dyDescent="0.35">
      <c r="A315">
        <v>314</v>
      </c>
      <c r="B315">
        <v>48</v>
      </c>
      <c r="C315" t="s">
        <v>12</v>
      </c>
      <c r="D315" t="s">
        <v>27</v>
      </c>
      <c r="E315" t="s">
        <v>32</v>
      </c>
      <c r="F315" t="s">
        <v>22</v>
      </c>
      <c r="G315">
        <v>3211</v>
      </c>
      <c r="H315">
        <v>66</v>
      </c>
      <c r="I315">
        <v>9</v>
      </c>
      <c r="J315" s="5">
        <v>900</v>
      </c>
      <c r="K315" s="4">
        <v>347</v>
      </c>
      <c r="L315" s="6">
        <v>45668</v>
      </c>
      <c r="M315" s="7">
        <f t="shared" si="12"/>
        <v>2.0554344440984116E-2</v>
      </c>
      <c r="N315" s="7">
        <f t="shared" si="13"/>
        <v>0.13636363636363635</v>
      </c>
      <c r="O315" s="7">
        <f t="shared" si="14"/>
        <v>1.5936599423631124</v>
      </c>
    </row>
    <row r="316" spans="1:15" x14ac:dyDescent="0.35">
      <c r="A316">
        <v>315</v>
      </c>
      <c r="B316">
        <v>22</v>
      </c>
      <c r="C316" t="s">
        <v>12</v>
      </c>
      <c r="D316" t="s">
        <v>20</v>
      </c>
      <c r="E316" t="s">
        <v>25</v>
      </c>
      <c r="F316" t="s">
        <v>29</v>
      </c>
      <c r="G316">
        <v>4994</v>
      </c>
      <c r="H316">
        <v>260</v>
      </c>
      <c r="I316">
        <v>11</v>
      </c>
      <c r="J316" s="5">
        <v>1177</v>
      </c>
      <c r="K316" s="4">
        <v>698</v>
      </c>
      <c r="L316" s="6">
        <v>45751</v>
      </c>
      <c r="M316" s="7">
        <f t="shared" si="12"/>
        <v>5.2062474969963954E-2</v>
      </c>
      <c r="N316" s="7">
        <f t="shared" si="13"/>
        <v>4.230769230769231E-2</v>
      </c>
      <c r="O316" s="7">
        <f t="shared" si="14"/>
        <v>0.68624641833810884</v>
      </c>
    </row>
    <row r="317" spans="1:15" x14ac:dyDescent="0.35">
      <c r="A317">
        <v>316</v>
      </c>
      <c r="B317">
        <v>49</v>
      </c>
      <c r="C317" t="s">
        <v>19</v>
      </c>
      <c r="D317" t="s">
        <v>26</v>
      </c>
      <c r="E317" t="s">
        <v>34</v>
      </c>
      <c r="F317" t="s">
        <v>31</v>
      </c>
      <c r="G317">
        <v>2537</v>
      </c>
      <c r="H317">
        <v>401</v>
      </c>
      <c r="I317">
        <v>12</v>
      </c>
      <c r="J317" s="5">
        <v>1068</v>
      </c>
      <c r="K317" s="4">
        <v>1543</v>
      </c>
      <c r="L317" s="6">
        <v>45752</v>
      </c>
      <c r="M317" s="7">
        <f t="shared" si="12"/>
        <v>0.15806070161608199</v>
      </c>
      <c r="N317" s="7">
        <f t="shared" si="13"/>
        <v>2.9925187032418952E-2</v>
      </c>
      <c r="O317" s="7">
        <f t="shared" si="14"/>
        <v>-0.30784186649384315</v>
      </c>
    </row>
    <row r="318" spans="1:15" x14ac:dyDescent="0.35">
      <c r="A318">
        <v>317</v>
      </c>
      <c r="B318">
        <v>32</v>
      </c>
      <c r="C318" t="s">
        <v>19</v>
      </c>
      <c r="D318" t="s">
        <v>27</v>
      </c>
      <c r="E318" t="s">
        <v>33</v>
      </c>
      <c r="F318" t="s">
        <v>31</v>
      </c>
      <c r="G318">
        <v>4219</v>
      </c>
      <c r="H318">
        <v>305</v>
      </c>
      <c r="I318">
        <v>29</v>
      </c>
      <c r="J318" s="5">
        <v>4205</v>
      </c>
      <c r="K318" s="4">
        <v>528</v>
      </c>
      <c r="L318" s="6">
        <v>45724</v>
      </c>
      <c r="M318" s="7">
        <f t="shared" si="12"/>
        <v>7.229201232519554E-2</v>
      </c>
      <c r="N318" s="7">
        <f t="shared" si="13"/>
        <v>9.5081967213114751E-2</v>
      </c>
      <c r="O318" s="7">
        <f t="shared" si="14"/>
        <v>6.9640151515151514</v>
      </c>
    </row>
    <row r="319" spans="1:15" x14ac:dyDescent="0.35">
      <c r="A319">
        <v>318</v>
      </c>
      <c r="B319">
        <v>42</v>
      </c>
      <c r="C319" t="s">
        <v>12</v>
      </c>
      <c r="D319" t="s">
        <v>16</v>
      </c>
      <c r="E319" t="s">
        <v>21</v>
      </c>
      <c r="F319" t="s">
        <v>18</v>
      </c>
      <c r="G319">
        <v>4132</v>
      </c>
      <c r="H319">
        <v>341</v>
      </c>
      <c r="I319">
        <v>72</v>
      </c>
      <c r="J319" s="5">
        <v>13248</v>
      </c>
      <c r="K319" s="4">
        <v>1813</v>
      </c>
      <c r="L319" s="6">
        <v>45776</v>
      </c>
      <c r="M319" s="7">
        <f t="shared" si="12"/>
        <v>8.252662149080349E-2</v>
      </c>
      <c r="N319" s="7">
        <f t="shared" si="13"/>
        <v>0.21114369501466276</v>
      </c>
      <c r="O319" s="7">
        <f t="shared" si="14"/>
        <v>6.3072255929398784</v>
      </c>
    </row>
    <row r="320" spans="1:15" x14ac:dyDescent="0.35">
      <c r="A320">
        <v>319</v>
      </c>
      <c r="B320">
        <v>29</v>
      </c>
      <c r="C320" t="s">
        <v>12</v>
      </c>
      <c r="D320" t="s">
        <v>20</v>
      </c>
      <c r="E320" t="s">
        <v>17</v>
      </c>
      <c r="F320" t="s">
        <v>18</v>
      </c>
      <c r="G320">
        <v>4785</v>
      </c>
      <c r="H320">
        <v>304</v>
      </c>
      <c r="I320">
        <v>14</v>
      </c>
      <c r="J320" s="5">
        <v>1610</v>
      </c>
      <c r="K320" s="4">
        <v>348</v>
      </c>
      <c r="L320" s="6">
        <v>45659</v>
      </c>
      <c r="M320" s="7">
        <f t="shared" si="12"/>
        <v>6.3531870428422149E-2</v>
      </c>
      <c r="N320" s="7">
        <f t="shared" si="13"/>
        <v>4.6052631578947366E-2</v>
      </c>
      <c r="O320" s="7">
        <f t="shared" si="14"/>
        <v>3.6264367816091956</v>
      </c>
    </row>
    <row r="321" spans="1:15" x14ac:dyDescent="0.35">
      <c r="A321">
        <v>320</v>
      </c>
      <c r="B321">
        <v>33</v>
      </c>
      <c r="C321" t="s">
        <v>19</v>
      </c>
      <c r="D321" t="s">
        <v>26</v>
      </c>
      <c r="E321" t="s">
        <v>33</v>
      </c>
      <c r="F321" t="s">
        <v>29</v>
      </c>
      <c r="G321">
        <v>2921</v>
      </c>
      <c r="H321">
        <v>318</v>
      </c>
      <c r="I321">
        <v>57</v>
      </c>
      <c r="J321" s="5">
        <v>9918</v>
      </c>
      <c r="K321" s="4">
        <v>359</v>
      </c>
      <c r="L321" s="6">
        <v>45668</v>
      </c>
      <c r="M321" s="7">
        <f t="shared" si="12"/>
        <v>0.10886682642930504</v>
      </c>
      <c r="N321" s="7">
        <f t="shared" si="13"/>
        <v>0.17924528301886791</v>
      </c>
      <c r="O321" s="7">
        <f t="shared" si="14"/>
        <v>26.626740947075209</v>
      </c>
    </row>
    <row r="322" spans="1:15" x14ac:dyDescent="0.35">
      <c r="A322">
        <v>321</v>
      </c>
      <c r="B322">
        <v>26</v>
      </c>
      <c r="C322" t="s">
        <v>12</v>
      </c>
      <c r="D322" t="s">
        <v>27</v>
      </c>
      <c r="E322" t="s">
        <v>30</v>
      </c>
      <c r="F322" t="s">
        <v>22</v>
      </c>
      <c r="G322">
        <v>1021</v>
      </c>
      <c r="H322">
        <v>320</v>
      </c>
      <c r="I322">
        <v>21</v>
      </c>
      <c r="J322" s="5">
        <v>2037</v>
      </c>
      <c r="K322" s="4">
        <v>1135</v>
      </c>
      <c r="L322" s="6">
        <v>45761</v>
      </c>
      <c r="M322" s="7">
        <f t="shared" si="12"/>
        <v>0.31341821743388837</v>
      </c>
      <c r="N322" s="7">
        <f t="shared" si="13"/>
        <v>6.5625000000000003E-2</v>
      </c>
      <c r="O322" s="7">
        <f t="shared" si="14"/>
        <v>0.79471365638766522</v>
      </c>
    </row>
    <row r="323" spans="1:15" x14ac:dyDescent="0.35">
      <c r="A323">
        <v>322</v>
      </c>
      <c r="B323">
        <v>49</v>
      </c>
      <c r="C323" t="s">
        <v>19</v>
      </c>
      <c r="D323" t="s">
        <v>27</v>
      </c>
      <c r="E323" t="s">
        <v>24</v>
      </c>
      <c r="F323" t="s">
        <v>29</v>
      </c>
      <c r="G323">
        <v>4197</v>
      </c>
      <c r="H323">
        <v>327</v>
      </c>
      <c r="I323">
        <v>34</v>
      </c>
      <c r="J323" s="5">
        <v>4182</v>
      </c>
      <c r="K323" s="4">
        <v>1948</v>
      </c>
      <c r="L323" s="6">
        <v>45703</v>
      </c>
      <c r="M323" s="7">
        <f t="shared" ref="M323:M386" si="15">H323/G323</f>
        <v>7.7912794853466763E-2</v>
      </c>
      <c r="N323" s="7">
        <f t="shared" ref="N323:N386" si="16">I323/H323</f>
        <v>0.10397553516819572</v>
      </c>
      <c r="O323" s="7">
        <f t="shared" ref="O323:O386" si="17">(J323-K323)/K323</f>
        <v>1.146817248459959</v>
      </c>
    </row>
    <row r="324" spans="1:15" x14ac:dyDescent="0.35">
      <c r="A324">
        <v>323</v>
      </c>
      <c r="B324">
        <v>47</v>
      </c>
      <c r="C324" t="s">
        <v>12</v>
      </c>
      <c r="D324" t="s">
        <v>20</v>
      </c>
      <c r="E324" t="s">
        <v>14</v>
      </c>
      <c r="F324" t="s">
        <v>18</v>
      </c>
      <c r="G324">
        <v>2660</v>
      </c>
      <c r="H324">
        <v>425</v>
      </c>
      <c r="I324">
        <v>25</v>
      </c>
      <c r="J324" s="5">
        <v>2775</v>
      </c>
      <c r="K324" s="4">
        <v>321</v>
      </c>
      <c r="L324" s="6">
        <v>45696</v>
      </c>
      <c r="M324" s="7">
        <f t="shared" si="15"/>
        <v>0.15977443609022557</v>
      </c>
      <c r="N324" s="7">
        <f t="shared" si="16"/>
        <v>5.8823529411764705E-2</v>
      </c>
      <c r="O324" s="7">
        <f t="shared" si="17"/>
        <v>7.6448598130841123</v>
      </c>
    </row>
    <row r="325" spans="1:15" x14ac:dyDescent="0.35">
      <c r="A325">
        <v>324</v>
      </c>
      <c r="B325">
        <v>30</v>
      </c>
      <c r="C325" t="s">
        <v>19</v>
      </c>
      <c r="D325" t="s">
        <v>26</v>
      </c>
      <c r="E325" t="s">
        <v>25</v>
      </c>
      <c r="F325" t="s">
        <v>22</v>
      </c>
      <c r="G325">
        <v>3044</v>
      </c>
      <c r="H325">
        <v>317</v>
      </c>
      <c r="I325">
        <v>51</v>
      </c>
      <c r="J325" s="5">
        <v>5100</v>
      </c>
      <c r="K325" s="4">
        <v>1753</v>
      </c>
      <c r="L325" s="6">
        <v>45665</v>
      </c>
      <c r="M325" s="7">
        <f t="shared" si="15"/>
        <v>0.10413929040735874</v>
      </c>
      <c r="N325" s="7">
        <f t="shared" si="16"/>
        <v>0.16088328075709779</v>
      </c>
      <c r="O325" s="7">
        <f t="shared" si="17"/>
        <v>1.9092983456930976</v>
      </c>
    </row>
    <row r="326" spans="1:15" x14ac:dyDescent="0.35">
      <c r="A326">
        <v>325</v>
      </c>
      <c r="B326">
        <v>49</v>
      </c>
      <c r="C326" t="s">
        <v>12</v>
      </c>
      <c r="D326" t="s">
        <v>27</v>
      </c>
      <c r="E326" t="s">
        <v>28</v>
      </c>
      <c r="F326" t="s">
        <v>22</v>
      </c>
      <c r="G326">
        <v>801</v>
      </c>
      <c r="H326">
        <v>409</v>
      </c>
      <c r="I326">
        <v>11</v>
      </c>
      <c r="J326" s="5">
        <v>2057</v>
      </c>
      <c r="K326" s="4">
        <v>862</v>
      </c>
      <c r="L326" s="6">
        <v>45679</v>
      </c>
      <c r="M326" s="7">
        <f t="shared" si="15"/>
        <v>0.51061173533083648</v>
      </c>
      <c r="N326" s="7">
        <f t="shared" si="16"/>
        <v>2.6894865525672371E-2</v>
      </c>
      <c r="O326" s="7">
        <f t="shared" si="17"/>
        <v>1.3863109048723898</v>
      </c>
    </row>
    <row r="327" spans="1:15" x14ac:dyDescent="0.35">
      <c r="A327">
        <v>326</v>
      </c>
      <c r="B327">
        <v>30</v>
      </c>
      <c r="C327" t="s">
        <v>19</v>
      </c>
      <c r="D327" t="s">
        <v>23</v>
      </c>
      <c r="E327" t="s">
        <v>33</v>
      </c>
      <c r="F327" t="s">
        <v>22</v>
      </c>
      <c r="G327">
        <v>4830</v>
      </c>
      <c r="H327">
        <v>394</v>
      </c>
      <c r="I327">
        <v>26</v>
      </c>
      <c r="J327" s="5">
        <v>2808</v>
      </c>
      <c r="K327" s="4">
        <v>1059</v>
      </c>
      <c r="L327" s="6">
        <v>45659</v>
      </c>
      <c r="M327" s="7">
        <f t="shared" si="15"/>
        <v>8.1573498964803315E-2</v>
      </c>
      <c r="N327" s="7">
        <f t="shared" si="16"/>
        <v>6.5989847715736044E-2</v>
      </c>
      <c r="O327" s="7">
        <f t="shared" si="17"/>
        <v>1.6515580736543909</v>
      </c>
    </row>
    <row r="328" spans="1:15" x14ac:dyDescent="0.35">
      <c r="A328">
        <v>327</v>
      </c>
      <c r="B328">
        <v>32</v>
      </c>
      <c r="C328" t="s">
        <v>19</v>
      </c>
      <c r="D328" t="s">
        <v>16</v>
      </c>
      <c r="E328" t="s">
        <v>24</v>
      </c>
      <c r="F328" t="s">
        <v>29</v>
      </c>
      <c r="G328">
        <v>4808</v>
      </c>
      <c r="H328">
        <v>485</v>
      </c>
      <c r="I328">
        <v>31</v>
      </c>
      <c r="J328" s="5">
        <v>5394</v>
      </c>
      <c r="K328" s="4">
        <v>1785</v>
      </c>
      <c r="L328" s="6">
        <v>45680</v>
      </c>
      <c r="M328" s="7">
        <f t="shared" si="15"/>
        <v>0.10087354409317803</v>
      </c>
      <c r="N328" s="7">
        <f t="shared" si="16"/>
        <v>6.3917525773195871E-2</v>
      </c>
      <c r="O328" s="7">
        <f t="shared" si="17"/>
        <v>2.0218487394957982</v>
      </c>
    </row>
    <row r="329" spans="1:15" x14ac:dyDescent="0.35">
      <c r="A329">
        <v>328</v>
      </c>
      <c r="B329">
        <v>50</v>
      </c>
      <c r="C329" t="s">
        <v>19</v>
      </c>
      <c r="D329" t="s">
        <v>27</v>
      </c>
      <c r="E329" t="s">
        <v>17</v>
      </c>
      <c r="F329" t="s">
        <v>31</v>
      </c>
      <c r="G329">
        <v>4683</v>
      </c>
      <c r="H329">
        <v>93</v>
      </c>
      <c r="I329">
        <v>26</v>
      </c>
      <c r="J329" s="5">
        <v>3016</v>
      </c>
      <c r="K329" s="4">
        <v>1906</v>
      </c>
      <c r="L329" s="6">
        <v>45660</v>
      </c>
      <c r="M329" s="7">
        <f t="shared" si="15"/>
        <v>1.9859064702114029E-2</v>
      </c>
      <c r="N329" s="7">
        <f t="shared" si="16"/>
        <v>0.27956989247311825</v>
      </c>
      <c r="O329" s="7">
        <f t="shared" si="17"/>
        <v>0.58237145855194128</v>
      </c>
    </row>
    <row r="330" spans="1:15" x14ac:dyDescent="0.35">
      <c r="A330">
        <v>329</v>
      </c>
      <c r="B330">
        <v>47</v>
      </c>
      <c r="C330" t="s">
        <v>12</v>
      </c>
      <c r="D330" t="s">
        <v>27</v>
      </c>
      <c r="E330" t="s">
        <v>14</v>
      </c>
      <c r="F330" t="s">
        <v>22</v>
      </c>
      <c r="G330">
        <v>1202</v>
      </c>
      <c r="H330">
        <v>167</v>
      </c>
      <c r="I330">
        <v>23</v>
      </c>
      <c r="J330" s="5">
        <v>2484</v>
      </c>
      <c r="K330" s="4">
        <v>222</v>
      </c>
      <c r="L330" s="6">
        <v>45765</v>
      </c>
      <c r="M330" s="7">
        <f t="shared" si="15"/>
        <v>0.13893510815307819</v>
      </c>
      <c r="N330" s="7">
        <f t="shared" si="16"/>
        <v>0.1377245508982036</v>
      </c>
      <c r="O330" s="7">
        <f t="shared" si="17"/>
        <v>10.189189189189189</v>
      </c>
    </row>
    <row r="331" spans="1:15" x14ac:dyDescent="0.35">
      <c r="A331">
        <v>330</v>
      </c>
      <c r="B331">
        <v>33</v>
      </c>
      <c r="C331" t="s">
        <v>12</v>
      </c>
      <c r="D331" t="s">
        <v>26</v>
      </c>
      <c r="E331" t="s">
        <v>17</v>
      </c>
      <c r="F331" t="s">
        <v>31</v>
      </c>
      <c r="G331">
        <v>1804</v>
      </c>
      <c r="H331">
        <v>177</v>
      </c>
      <c r="I331">
        <v>12</v>
      </c>
      <c r="J331" s="5">
        <v>1644</v>
      </c>
      <c r="K331" s="4">
        <v>561</v>
      </c>
      <c r="L331" s="6">
        <v>45658</v>
      </c>
      <c r="M331" s="7">
        <f t="shared" si="15"/>
        <v>9.8115299334811529E-2</v>
      </c>
      <c r="N331" s="7">
        <f t="shared" si="16"/>
        <v>6.7796610169491525E-2</v>
      </c>
      <c r="O331" s="7">
        <f t="shared" si="17"/>
        <v>1.9304812834224598</v>
      </c>
    </row>
    <row r="332" spans="1:15" x14ac:dyDescent="0.35">
      <c r="A332">
        <v>331</v>
      </c>
      <c r="B332">
        <v>49</v>
      </c>
      <c r="C332" t="s">
        <v>19</v>
      </c>
      <c r="D332" t="s">
        <v>23</v>
      </c>
      <c r="E332" t="s">
        <v>21</v>
      </c>
      <c r="F332" t="s">
        <v>31</v>
      </c>
      <c r="G332">
        <v>1784</v>
      </c>
      <c r="H332">
        <v>52</v>
      </c>
      <c r="I332">
        <v>69</v>
      </c>
      <c r="J332" s="5">
        <v>12282</v>
      </c>
      <c r="K332" s="4">
        <v>1327</v>
      </c>
      <c r="L332" s="6">
        <v>45755</v>
      </c>
      <c r="M332" s="7">
        <f t="shared" si="15"/>
        <v>2.914798206278027E-2</v>
      </c>
      <c r="N332" s="7">
        <f t="shared" si="16"/>
        <v>1.3269230769230769</v>
      </c>
      <c r="O332" s="7">
        <f t="shared" si="17"/>
        <v>8.2554634513941227</v>
      </c>
    </row>
    <row r="333" spans="1:15" x14ac:dyDescent="0.35">
      <c r="A333">
        <v>332</v>
      </c>
      <c r="B333">
        <v>44</v>
      </c>
      <c r="C333" t="s">
        <v>12</v>
      </c>
      <c r="D333" t="s">
        <v>26</v>
      </c>
      <c r="E333" t="s">
        <v>33</v>
      </c>
      <c r="F333" t="s">
        <v>18</v>
      </c>
      <c r="G333">
        <v>4062</v>
      </c>
      <c r="H333">
        <v>59</v>
      </c>
      <c r="I333">
        <v>25</v>
      </c>
      <c r="J333" s="5">
        <v>4550</v>
      </c>
      <c r="K333" s="4">
        <v>501</v>
      </c>
      <c r="L333" s="6">
        <v>45698</v>
      </c>
      <c r="M333" s="7">
        <f t="shared" si="15"/>
        <v>1.4524864598719843E-2</v>
      </c>
      <c r="N333" s="7">
        <f t="shared" si="16"/>
        <v>0.42372881355932202</v>
      </c>
      <c r="O333" s="7">
        <f t="shared" si="17"/>
        <v>8.0818363273453091</v>
      </c>
    </row>
    <row r="334" spans="1:15" x14ac:dyDescent="0.35">
      <c r="A334">
        <v>333</v>
      </c>
      <c r="B334">
        <v>39</v>
      </c>
      <c r="C334" t="s">
        <v>19</v>
      </c>
      <c r="D334" t="s">
        <v>13</v>
      </c>
      <c r="E334" t="s">
        <v>21</v>
      </c>
      <c r="F334" t="s">
        <v>22</v>
      </c>
      <c r="G334">
        <v>2659</v>
      </c>
      <c r="H334">
        <v>62</v>
      </c>
      <c r="I334">
        <v>13</v>
      </c>
      <c r="J334" s="5">
        <v>1495</v>
      </c>
      <c r="K334" s="4">
        <v>699</v>
      </c>
      <c r="L334" s="6">
        <v>45747</v>
      </c>
      <c r="M334" s="7">
        <f t="shared" si="15"/>
        <v>2.3317036479879653E-2</v>
      </c>
      <c r="N334" s="7">
        <f t="shared" si="16"/>
        <v>0.20967741935483872</v>
      </c>
      <c r="O334" s="7">
        <f t="shared" si="17"/>
        <v>1.1387696709585122</v>
      </c>
    </row>
    <row r="335" spans="1:15" x14ac:dyDescent="0.35">
      <c r="A335">
        <v>334</v>
      </c>
      <c r="B335">
        <v>31</v>
      </c>
      <c r="C335" t="s">
        <v>19</v>
      </c>
      <c r="D335" t="s">
        <v>23</v>
      </c>
      <c r="E335" t="s">
        <v>30</v>
      </c>
      <c r="F335" t="s">
        <v>31</v>
      </c>
      <c r="G335">
        <v>813</v>
      </c>
      <c r="H335">
        <v>103</v>
      </c>
      <c r="I335">
        <v>16</v>
      </c>
      <c r="J335" s="5">
        <v>2512</v>
      </c>
      <c r="K335" s="4">
        <v>408</v>
      </c>
      <c r="L335" s="6">
        <v>45691</v>
      </c>
      <c r="M335" s="7">
        <f t="shared" si="15"/>
        <v>0.12669126691266913</v>
      </c>
      <c r="N335" s="7">
        <f t="shared" si="16"/>
        <v>0.1553398058252427</v>
      </c>
      <c r="O335" s="7">
        <f t="shared" si="17"/>
        <v>5.1568627450980395</v>
      </c>
    </row>
    <row r="336" spans="1:15" x14ac:dyDescent="0.35">
      <c r="A336">
        <v>335</v>
      </c>
      <c r="B336">
        <v>21</v>
      </c>
      <c r="C336" t="s">
        <v>19</v>
      </c>
      <c r="D336" t="s">
        <v>27</v>
      </c>
      <c r="E336" t="s">
        <v>32</v>
      </c>
      <c r="F336" t="s">
        <v>22</v>
      </c>
      <c r="G336">
        <v>3134</v>
      </c>
      <c r="H336">
        <v>449</v>
      </c>
      <c r="I336">
        <v>74</v>
      </c>
      <c r="J336" s="5">
        <v>13320</v>
      </c>
      <c r="K336" s="4">
        <v>1434</v>
      </c>
      <c r="L336" s="6">
        <v>45677</v>
      </c>
      <c r="M336" s="7">
        <f t="shared" si="15"/>
        <v>0.14326738991703894</v>
      </c>
      <c r="N336" s="7">
        <f t="shared" si="16"/>
        <v>0.16481069042316257</v>
      </c>
      <c r="O336" s="7">
        <f t="shared" si="17"/>
        <v>8.2887029288702934</v>
      </c>
    </row>
    <row r="337" spans="1:15" x14ac:dyDescent="0.35">
      <c r="A337">
        <v>336</v>
      </c>
      <c r="B337">
        <v>38</v>
      </c>
      <c r="C337" t="s">
        <v>19</v>
      </c>
      <c r="D337" t="s">
        <v>13</v>
      </c>
      <c r="E337" t="s">
        <v>21</v>
      </c>
      <c r="F337" t="s">
        <v>31</v>
      </c>
      <c r="G337">
        <v>2429</v>
      </c>
      <c r="H337">
        <v>73</v>
      </c>
      <c r="I337">
        <v>30</v>
      </c>
      <c r="J337" s="5">
        <v>4920</v>
      </c>
      <c r="K337" s="4">
        <v>1965</v>
      </c>
      <c r="L337" s="6">
        <v>45695</v>
      </c>
      <c r="M337" s="7">
        <f t="shared" si="15"/>
        <v>3.0053519967064634E-2</v>
      </c>
      <c r="N337" s="7">
        <f t="shared" si="16"/>
        <v>0.41095890410958902</v>
      </c>
      <c r="O337" s="7">
        <f t="shared" si="17"/>
        <v>1.5038167938931297</v>
      </c>
    </row>
    <row r="338" spans="1:15" x14ac:dyDescent="0.35">
      <c r="A338">
        <v>337</v>
      </c>
      <c r="B338">
        <v>24</v>
      </c>
      <c r="C338" t="s">
        <v>19</v>
      </c>
      <c r="D338" t="s">
        <v>27</v>
      </c>
      <c r="E338" t="s">
        <v>32</v>
      </c>
      <c r="F338" t="s">
        <v>31</v>
      </c>
      <c r="G338">
        <v>4783</v>
      </c>
      <c r="H338">
        <v>106</v>
      </c>
      <c r="I338">
        <v>49</v>
      </c>
      <c r="J338" s="5">
        <v>4704</v>
      </c>
      <c r="K338" s="4">
        <v>1243</v>
      </c>
      <c r="L338" s="6">
        <v>45750</v>
      </c>
      <c r="M338" s="7">
        <f t="shared" si="15"/>
        <v>2.2161823123562619E-2</v>
      </c>
      <c r="N338" s="7">
        <f t="shared" si="16"/>
        <v>0.46226415094339623</v>
      </c>
      <c r="O338" s="7">
        <f t="shared" si="17"/>
        <v>2.7843925985518907</v>
      </c>
    </row>
    <row r="339" spans="1:15" x14ac:dyDescent="0.35">
      <c r="A339">
        <v>338</v>
      </c>
      <c r="B339">
        <v>21</v>
      </c>
      <c r="C339" t="s">
        <v>19</v>
      </c>
      <c r="D339" t="s">
        <v>23</v>
      </c>
      <c r="E339" t="s">
        <v>17</v>
      </c>
      <c r="F339" t="s">
        <v>18</v>
      </c>
      <c r="G339">
        <v>4086</v>
      </c>
      <c r="H339">
        <v>265</v>
      </c>
      <c r="I339">
        <v>62</v>
      </c>
      <c r="J339" s="5">
        <v>12090</v>
      </c>
      <c r="K339" s="4">
        <v>1278</v>
      </c>
      <c r="L339" s="6">
        <v>45681</v>
      </c>
      <c r="M339" s="7">
        <f t="shared" si="15"/>
        <v>6.4855604503181591E-2</v>
      </c>
      <c r="N339" s="7">
        <f t="shared" si="16"/>
        <v>0.2339622641509434</v>
      </c>
      <c r="O339" s="7">
        <f t="shared" si="17"/>
        <v>8.4600938967136159</v>
      </c>
    </row>
    <row r="340" spans="1:15" x14ac:dyDescent="0.35">
      <c r="A340">
        <v>339</v>
      </c>
      <c r="B340">
        <v>36</v>
      </c>
      <c r="C340" t="s">
        <v>19</v>
      </c>
      <c r="D340" t="s">
        <v>16</v>
      </c>
      <c r="E340" t="s">
        <v>34</v>
      </c>
      <c r="F340" t="s">
        <v>15</v>
      </c>
      <c r="G340">
        <v>661</v>
      </c>
      <c r="H340">
        <v>207</v>
      </c>
      <c r="I340">
        <v>23</v>
      </c>
      <c r="J340" s="5">
        <v>3197</v>
      </c>
      <c r="K340" s="4">
        <v>358</v>
      </c>
      <c r="L340" s="6">
        <v>45720</v>
      </c>
      <c r="M340" s="7">
        <f t="shared" si="15"/>
        <v>0.31316187594553707</v>
      </c>
      <c r="N340" s="7">
        <f t="shared" si="16"/>
        <v>0.1111111111111111</v>
      </c>
      <c r="O340" s="7">
        <f t="shared" si="17"/>
        <v>7.9301675977653634</v>
      </c>
    </row>
    <row r="341" spans="1:15" x14ac:dyDescent="0.35">
      <c r="A341">
        <v>340</v>
      </c>
      <c r="B341">
        <v>48</v>
      </c>
      <c r="C341" t="s">
        <v>12</v>
      </c>
      <c r="D341" t="s">
        <v>27</v>
      </c>
      <c r="E341" t="s">
        <v>32</v>
      </c>
      <c r="F341" t="s">
        <v>31</v>
      </c>
      <c r="G341">
        <v>1163</v>
      </c>
      <c r="H341">
        <v>158</v>
      </c>
      <c r="I341">
        <v>34</v>
      </c>
      <c r="J341" s="5">
        <v>6154</v>
      </c>
      <c r="K341" s="4">
        <v>1537</v>
      </c>
      <c r="L341" s="6">
        <v>45721</v>
      </c>
      <c r="M341" s="7">
        <f t="shared" si="15"/>
        <v>0.1358555460017197</v>
      </c>
      <c r="N341" s="7">
        <f t="shared" si="16"/>
        <v>0.21518987341772153</v>
      </c>
      <c r="O341" s="7">
        <f t="shared" si="17"/>
        <v>3.0039037085230968</v>
      </c>
    </row>
    <row r="342" spans="1:15" x14ac:dyDescent="0.35">
      <c r="A342">
        <v>341</v>
      </c>
      <c r="B342">
        <v>50</v>
      </c>
      <c r="C342" t="s">
        <v>12</v>
      </c>
      <c r="D342" t="s">
        <v>16</v>
      </c>
      <c r="E342" t="s">
        <v>33</v>
      </c>
      <c r="F342" t="s">
        <v>31</v>
      </c>
      <c r="G342">
        <v>2566</v>
      </c>
      <c r="H342">
        <v>481</v>
      </c>
      <c r="I342">
        <v>49</v>
      </c>
      <c r="J342" s="5">
        <v>8477</v>
      </c>
      <c r="K342" s="4">
        <v>939</v>
      </c>
      <c r="L342" s="6">
        <v>45720</v>
      </c>
      <c r="M342" s="7">
        <f t="shared" si="15"/>
        <v>0.18745128604832423</v>
      </c>
      <c r="N342" s="7">
        <f t="shared" si="16"/>
        <v>0.10187110187110188</v>
      </c>
      <c r="O342" s="7">
        <f t="shared" si="17"/>
        <v>8.0276890308839199</v>
      </c>
    </row>
    <row r="343" spans="1:15" x14ac:dyDescent="0.35">
      <c r="A343">
        <v>342</v>
      </c>
      <c r="B343">
        <v>50</v>
      </c>
      <c r="C343" t="s">
        <v>12</v>
      </c>
      <c r="D343" t="s">
        <v>16</v>
      </c>
      <c r="E343" t="s">
        <v>34</v>
      </c>
      <c r="F343" t="s">
        <v>31</v>
      </c>
      <c r="G343">
        <v>2151</v>
      </c>
      <c r="H343">
        <v>162</v>
      </c>
      <c r="I343">
        <v>51</v>
      </c>
      <c r="J343" s="5">
        <v>6936</v>
      </c>
      <c r="K343" s="4">
        <v>1170</v>
      </c>
      <c r="L343" s="6">
        <v>45727</v>
      </c>
      <c r="M343" s="7">
        <f t="shared" si="15"/>
        <v>7.5313807531380755E-2</v>
      </c>
      <c r="N343" s="7">
        <f t="shared" si="16"/>
        <v>0.31481481481481483</v>
      </c>
      <c r="O343" s="7">
        <f t="shared" si="17"/>
        <v>4.9282051282051285</v>
      </c>
    </row>
    <row r="344" spans="1:15" x14ac:dyDescent="0.35">
      <c r="A344">
        <v>343</v>
      </c>
      <c r="B344">
        <v>31</v>
      </c>
      <c r="C344" t="s">
        <v>12</v>
      </c>
      <c r="D344" t="s">
        <v>27</v>
      </c>
      <c r="E344" t="s">
        <v>14</v>
      </c>
      <c r="F344" t="s">
        <v>29</v>
      </c>
      <c r="G344">
        <v>1783</v>
      </c>
      <c r="H344">
        <v>197</v>
      </c>
      <c r="I344">
        <v>51</v>
      </c>
      <c r="J344" s="5">
        <v>7599</v>
      </c>
      <c r="K344" s="4">
        <v>598</v>
      </c>
      <c r="L344" s="6">
        <v>45666</v>
      </c>
      <c r="M344" s="7">
        <f t="shared" si="15"/>
        <v>0.11048794167134043</v>
      </c>
      <c r="N344" s="7">
        <f t="shared" si="16"/>
        <v>0.25888324873096447</v>
      </c>
      <c r="O344" s="7">
        <f t="shared" si="17"/>
        <v>11.707357859531772</v>
      </c>
    </row>
    <row r="345" spans="1:15" x14ac:dyDescent="0.35">
      <c r="A345">
        <v>344</v>
      </c>
      <c r="B345">
        <v>20</v>
      </c>
      <c r="C345" t="s">
        <v>12</v>
      </c>
      <c r="D345" t="s">
        <v>26</v>
      </c>
      <c r="E345" t="s">
        <v>34</v>
      </c>
      <c r="F345" t="s">
        <v>15</v>
      </c>
      <c r="G345">
        <v>3971</v>
      </c>
      <c r="H345">
        <v>374</v>
      </c>
      <c r="I345">
        <v>65</v>
      </c>
      <c r="J345" s="5">
        <v>8385</v>
      </c>
      <c r="K345" s="4">
        <v>337</v>
      </c>
      <c r="L345" s="6">
        <v>45751</v>
      </c>
      <c r="M345" s="7">
        <f t="shared" si="15"/>
        <v>9.4182825484764546E-2</v>
      </c>
      <c r="N345" s="7">
        <f t="shared" si="16"/>
        <v>0.17379679144385027</v>
      </c>
      <c r="O345" s="7">
        <f t="shared" si="17"/>
        <v>23.881305637982194</v>
      </c>
    </row>
    <row r="346" spans="1:15" x14ac:dyDescent="0.35">
      <c r="A346">
        <v>345</v>
      </c>
      <c r="B346">
        <v>52</v>
      </c>
      <c r="C346" t="s">
        <v>19</v>
      </c>
      <c r="D346" t="s">
        <v>23</v>
      </c>
      <c r="E346" t="s">
        <v>21</v>
      </c>
      <c r="F346" t="s">
        <v>22</v>
      </c>
      <c r="G346">
        <v>3257</v>
      </c>
      <c r="H346">
        <v>386</v>
      </c>
      <c r="I346">
        <v>55</v>
      </c>
      <c r="J346" s="5">
        <v>5390</v>
      </c>
      <c r="K346" s="4">
        <v>956</v>
      </c>
      <c r="L346" s="6">
        <v>45772</v>
      </c>
      <c r="M346" s="7">
        <f t="shared" si="15"/>
        <v>0.11851396991096101</v>
      </c>
      <c r="N346" s="7">
        <f t="shared" si="16"/>
        <v>0.14248704663212436</v>
      </c>
      <c r="O346" s="7">
        <f t="shared" si="17"/>
        <v>4.6380753138075317</v>
      </c>
    </row>
    <row r="347" spans="1:15" x14ac:dyDescent="0.35">
      <c r="A347">
        <v>346</v>
      </c>
      <c r="B347">
        <v>22</v>
      </c>
      <c r="C347" t="s">
        <v>19</v>
      </c>
      <c r="D347" t="s">
        <v>16</v>
      </c>
      <c r="E347" t="s">
        <v>32</v>
      </c>
      <c r="F347" t="s">
        <v>18</v>
      </c>
      <c r="G347">
        <v>2503</v>
      </c>
      <c r="H347">
        <v>98</v>
      </c>
      <c r="I347">
        <v>25</v>
      </c>
      <c r="J347" s="5">
        <v>3575</v>
      </c>
      <c r="K347" s="4">
        <v>1297</v>
      </c>
      <c r="L347" s="6">
        <v>45727</v>
      </c>
      <c r="M347" s="7">
        <f t="shared" si="15"/>
        <v>3.9153016380343589E-2</v>
      </c>
      <c r="N347" s="7">
        <f t="shared" si="16"/>
        <v>0.25510204081632654</v>
      </c>
      <c r="O347" s="7">
        <f t="shared" si="17"/>
        <v>1.7563608326908249</v>
      </c>
    </row>
    <row r="348" spans="1:15" x14ac:dyDescent="0.35">
      <c r="A348">
        <v>347</v>
      </c>
      <c r="B348">
        <v>18</v>
      </c>
      <c r="C348" t="s">
        <v>12</v>
      </c>
      <c r="D348" t="s">
        <v>26</v>
      </c>
      <c r="E348" t="s">
        <v>17</v>
      </c>
      <c r="F348" t="s">
        <v>18</v>
      </c>
      <c r="G348">
        <v>2125</v>
      </c>
      <c r="H348">
        <v>309</v>
      </c>
      <c r="I348">
        <v>43</v>
      </c>
      <c r="J348" s="5">
        <v>4902</v>
      </c>
      <c r="K348" s="4">
        <v>1209</v>
      </c>
      <c r="L348" s="6">
        <v>45714</v>
      </c>
      <c r="M348" s="7">
        <f t="shared" si="15"/>
        <v>0.14541176470588235</v>
      </c>
      <c r="N348" s="7">
        <f t="shared" si="16"/>
        <v>0.13915857605177995</v>
      </c>
      <c r="O348" s="7">
        <f t="shared" si="17"/>
        <v>3.0545905707196028</v>
      </c>
    </row>
    <row r="349" spans="1:15" x14ac:dyDescent="0.35">
      <c r="A349">
        <v>348</v>
      </c>
      <c r="B349">
        <v>48</v>
      </c>
      <c r="C349" t="s">
        <v>19</v>
      </c>
      <c r="D349" t="s">
        <v>23</v>
      </c>
      <c r="E349" t="s">
        <v>32</v>
      </c>
      <c r="F349" t="s">
        <v>18</v>
      </c>
      <c r="G349">
        <v>3159</v>
      </c>
      <c r="H349">
        <v>375</v>
      </c>
      <c r="I349">
        <v>45</v>
      </c>
      <c r="J349" s="5">
        <v>5625</v>
      </c>
      <c r="K349" s="4">
        <v>1405</v>
      </c>
      <c r="L349" s="6">
        <v>45681</v>
      </c>
      <c r="M349" s="7">
        <f t="shared" si="15"/>
        <v>0.11870845204178537</v>
      </c>
      <c r="N349" s="7">
        <f t="shared" si="16"/>
        <v>0.12</v>
      </c>
      <c r="O349" s="7">
        <f t="shared" si="17"/>
        <v>3.0035587188612101</v>
      </c>
    </row>
    <row r="350" spans="1:15" x14ac:dyDescent="0.35">
      <c r="A350">
        <v>349</v>
      </c>
      <c r="B350">
        <v>24</v>
      </c>
      <c r="C350" t="s">
        <v>12</v>
      </c>
      <c r="D350" t="s">
        <v>27</v>
      </c>
      <c r="E350" t="s">
        <v>24</v>
      </c>
      <c r="F350" t="s">
        <v>18</v>
      </c>
      <c r="G350">
        <v>1931</v>
      </c>
      <c r="H350">
        <v>413</v>
      </c>
      <c r="I350">
        <v>34</v>
      </c>
      <c r="J350" s="5">
        <v>5814</v>
      </c>
      <c r="K350" s="4">
        <v>1565</v>
      </c>
      <c r="L350" s="6">
        <v>45712</v>
      </c>
      <c r="M350" s="7">
        <f t="shared" si="15"/>
        <v>0.21387881926462973</v>
      </c>
      <c r="N350" s="7">
        <f t="shared" si="16"/>
        <v>8.2324455205811137E-2</v>
      </c>
      <c r="O350" s="7">
        <f t="shared" si="17"/>
        <v>2.7150159744408944</v>
      </c>
    </row>
    <row r="351" spans="1:15" x14ac:dyDescent="0.35">
      <c r="A351">
        <v>350</v>
      </c>
      <c r="B351">
        <v>48</v>
      </c>
      <c r="C351" t="s">
        <v>19</v>
      </c>
      <c r="D351" t="s">
        <v>26</v>
      </c>
      <c r="E351" t="s">
        <v>21</v>
      </c>
      <c r="F351" t="s">
        <v>29</v>
      </c>
      <c r="G351">
        <v>3791</v>
      </c>
      <c r="H351">
        <v>319</v>
      </c>
      <c r="I351">
        <v>14</v>
      </c>
      <c r="J351" s="5">
        <v>1862</v>
      </c>
      <c r="K351" s="4">
        <v>1623</v>
      </c>
      <c r="L351" s="6">
        <v>45746</v>
      </c>
      <c r="M351" s="7">
        <f t="shared" si="15"/>
        <v>8.414666314956476E-2</v>
      </c>
      <c r="N351" s="7">
        <f t="shared" si="16"/>
        <v>4.3887147335423198E-2</v>
      </c>
      <c r="O351" s="7">
        <f t="shared" si="17"/>
        <v>0.14725816389402341</v>
      </c>
    </row>
    <row r="352" spans="1:15" x14ac:dyDescent="0.35">
      <c r="A352">
        <v>351</v>
      </c>
      <c r="B352">
        <v>53</v>
      </c>
      <c r="C352" t="s">
        <v>12</v>
      </c>
      <c r="D352" t="s">
        <v>23</v>
      </c>
      <c r="E352" t="s">
        <v>17</v>
      </c>
      <c r="F352" t="s">
        <v>29</v>
      </c>
      <c r="G352">
        <v>704</v>
      </c>
      <c r="H352">
        <v>119</v>
      </c>
      <c r="I352">
        <v>48</v>
      </c>
      <c r="J352" s="5">
        <v>5952</v>
      </c>
      <c r="K352" s="4">
        <v>1040</v>
      </c>
      <c r="L352" s="6">
        <v>45764</v>
      </c>
      <c r="M352" s="7">
        <f t="shared" si="15"/>
        <v>0.16903409090909091</v>
      </c>
      <c r="N352" s="7">
        <f t="shared" si="16"/>
        <v>0.40336134453781514</v>
      </c>
      <c r="O352" s="7">
        <f t="shared" si="17"/>
        <v>4.7230769230769232</v>
      </c>
    </row>
    <row r="353" spans="1:15" x14ac:dyDescent="0.35">
      <c r="A353">
        <v>352</v>
      </c>
      <c r="B353">
        <v>50</v>
      </c>
      <c r="C353" t="s">
        <v>19</v>
      </c>
      <c r="D353" t="s">
        <v>26</v>
      </c>
      <c r="E353" t="s">
        <v>14</v>
      </c>
      <c r="F353" t="s">
        <v>15</v>
      </c>
      <c r="G353">
        <v>3143</v>
      </c>
      <c r="H353">
        <v>387</v>
      </c>
      <c r="I353">
        <v>61</v>
      </c>
      <c r="J353" s="5">
        <v>8967</v>
      </c>
      <c r="K353" s="4">
        <v>1756</v>
      </c>
      <c r="L353" s="6">
        <v>45727</v>
      </c>
      <c r="M353" s="7">
        <f t="shared" si="15"/>
        <v>0.12313076678332803</v>
      </c>
      <c r="N353" s="7">
        <f t="shared" si="16"/>
        <v>0.15762273901808785</v>
      </c>
      <c r="O353" s="7">
        <f t="shared" si="17"/>
        <v>4.106492027334852</v>
      </c>
    </row>
    <row r="354" spans="1:15" x14ac:dyDescent="0.35">
      <c r="A354">
        <v>353</v>
      </c>
      <c r="B354">
        <v>32</v>
      </c>
      <c r="C354" t="s">
        <v>12</v>
      </c>
      <c r="D354" t="s">
        <v>26</v>
      </c>
      <c r="E354" t="s">
        <v>14</v>
      </c>
      <c r="F354" t="s">
        <v>29</v>
      </c>
      <c r="G354">
        <v>1922</v>
      </c>
      <c r="H354">
        <v>209</v>
      </c>
      <c r="I354">
        <v>79</v>
      </c>
      <c r="J354" s="5">
        <v>13193</v>
      </c>
      <c r="K354" s="4">
        <v>1371</v>
      </c>
      <c r="L354" s="6">
        <v>45678</v>
      </c>
      <c r="M354" s="7">
        <f t="shared" si="15"/>
        <v>0.10874089490114464</v>
      </c>
      <c r="N354" s="7">
        <f t="shared" si="16"/>
        <v>0.37799043062200954</v>
      </c>
      <c r="O354" s="7">
        <f t="shared" si="17"/>
        <v>8.6229029905178702</v>
      </c>
    </row>
    <row r="355" spans="1:15" x14ac:dyDescent="0.35">
      <c r="A355">
        <v>354</v>
      </c>
      <c r="B355">
        <v>38</v>
      </c>
      <c r="C355" t="s">
        <v>19</v>
      </c>
      <c r="D355" t="s">
        <v>20</v>
      </c>
      <c r="E355" t="s">
        <v>33</v>
      </c>
      <c r="F355" t="s">
        <v>18</v>
      </c>
      <c r="G355">
        <v>1949</v>
      </c>
      <c r="H355">
        <v>203</v>
      </c>
      <c r="I355">
        <v>18</v>
      </c>
      <c r="J355" s="5">
        <v>2088</v>
      </c>
      <c r="K355" s="4">
        <v>1536</v>
      </c>
      <c r="L355" s="6">
        <v>45726</v>
      </c>
      <c r="M355" s="7">
        <f t="shared" si="15"/>
        <v>0.10415597742432016</v>
      </c>
      <c r="N355" s="7">
        <f t="shared" si="16"/>
        <v>8.8669950738916259E-2</v>
      </c>
      <c r="O355" s="7">
        <f t="shared" si="17"/>
        <v>0.359375</v>
      </c>
    </row>
    <row r="356" spans="1:15" x14ac:dyDescent="0.35">
      <c r="A356">
        <v>355</v>
      </c>
      <c r="B356">
        <v>36</v>
      </c>
      <c r="C356" t="s">
        <v>12</v>
      </c>
      <c r="D356" t="s">
        <v>23</v>
      </c>
      <c r="E356" t="s">
        <v>24</v>
      </c>
      <c r="F356" t="s">
        <v>31</v>
      </c>
      <c r="G356">
        <v>4170</v>
      </c>
      <c r="H356">
        <v>267</v>
      </c>
      <c r="I356">
        <v>41</v>
      </c>
      <c r="J356" s="5">
        <v>5248</v>
      </c>
      <c r="K356" s="4">
        <v>1183</v>
      </c>
      <c r="L356" s="6">
        <v>45746</v>
      </c>
      <c r="M356" s="7">
        <f t="shared" si="15"/>
        <v>6.4028776978417259E-2</v>
      </c>
      <c r="N356" s="7">
        <f t="shared" si="16"/>
        <v>0.15355805243445692</v>
      </c>
      <c r="O356" s="7">
        <f t="shared" si="17"/>
        <v>3.4361792054099745</v>
      </c>
    </row>
    <row r="357" spans="1:15" x14ac:dyDescent="0.35">
      <c r="A357">
        <v>356</v>
      </c>
      <c r="B357">
        <v>21</v>
      </c>
      <c r="C357" t="s">
        <v>19</v>
      </c>
      <c r="D357" t="s">
        <v>26</v>
      </c>
      <c r="E357" t="s">
        <v>21</v>
      </c>
      <c r="F357" t="s">
        <v>15</v>
      </c>
      <c r="G357">
        <v>4979</v>
      </c>
      <c r="H357">
        <v>445</v>
      </c>
      <c r="I357">
        <v>65</v>
      </c>
      <c r="J357" s="5">
        <v>7280</v>
      </c>
      <c r="K357" s="4">
        <v>624</v>
      </c>
      <c r="L357" s="6">
        <v>45728</v>
      </c>
      <c r="M357" s="7">
        <f t="shared" si="15"/>
        <v>8.9375376581642907E-2</v>
      </c>
      <c r="N357" s="7">
        <f t="shared" si="16"/>
        <v>0.14606741573033707</v>
      </c>
      <c r="O357" s="7">
        <f t="shared" si="17"/>
        <v>10.666666666666666</v>
      </c>
    </row>
    <row r="358" spans="1:15" x14ac:dyDescent="0.35">
      <c r="A358">
        <v>357</v>
      </c>
      <c r="B358">
        <v>51</v>
      </c>
      <c r="C358" t="s">
        <v>12</v>
      </c>
      <c r="D358" t="s">
        <v>27</v>
      </c>
      <c r="E358" t="s">
        <v>21</v>
      </c>
      <c r="F358" t="s">
        <v>22</v>
      </c>
      <c r="G358">
        <v>1097</v>
      </c>
      <c r="H358">
        <v>338</v>
      </c>
      <c r="I358">
        <v>28</v>
      </c>
      <c r="J358" s="5">
        <v>3920</v>
      </c>
      <c r="K358" s="4">
        <v>1796</v>
      </c>
      <c r="L358" s="6">
        <v>45700</v>
      </c>
      <c r="M358" s="7">
        <f t="shared" si="15"/>
        <v>0.3081130355515041</v>
      </c>
      <c r="N358" s="7">
        <f t="shared" si="16"/>
        <v>8.2840236686390539E-2</v>
      </c>
      <c r="O358" s="7">
        <f t="shared" si="17"/>
        <v>1.1826280623608019</v>
      </c>
    </row>
    <row r="359" spans="1:15" x14ac:dyDescent="0.35">
      <c r="A359">
        <v>358</v>
      </c>
      <c r="B359">
        <v>23</v>
      </c>
      <c r="C359" t="s">
        <v>19</v>
      </c>
      <c r="D359" t="s">
        <v>27</v>
      </c>
      <c r="E359" t="s">
        <v>33</v>
      </c>
      <c r="F359" t="s">
        <v>18</v>
      </c>
      <c r="G359">
        <v>4169</v>
      </c>
      <c r="H359">
        <v>226</v>
      </c>
      <c r="I359">
        <v>21</v>
      </c>
      <c r="J359" s="5">
        <v>3129</v>
      </c>
      <c r="K359" s="4">
        <v>1833</v>
      </c>
      <c r="L359" s="6">
        <v>45722</v>
      </c>
      <c r="M359" s="7">
        <f t="shared" si="15"/>
        <v>5.4209642600143916E-2</v>
      </c>
      <c r="N359" s="7">
        <f t="shared" si="16"/>
        <v>9.2920353982300891E-2</v>
      </c>
      <c r="O359" s="7">
        <f t="shared" si="17"/>
        <v>0.707037643207856</v>
      </c>
    </row>
    <row r="360" spans="1:15" x14ac:dyDescent="0.35">
      <c r="A360">
        <v>359</v>
      </c>
      <c r="B360">
        <v>19</v>
      </c>
      <c r="C360" t="s">
        <v>12</v>
      </c>
      <c r="D360" t="s">
        <v>27</v>
      </c>
      <c r="E360" t="s">
        <v>21</v>
      </c>
      <c r="F360" t="s">
        <v>15</v>
      </c>
      <c r="G360">
        <v>4088</v>
      </c>
      <c r="H360">
        <v>51</v>
      </c>
      <c r="I360">
        <v>26</v>
      </c>
      <c r="J360" s="5">
        <v>3536</v>
      </c>
      <c r="K360" s="4">
        <v>1335</v>
      </c>
      <c r="L360" s="6">
        <v>45755</v>
      </c>
      <c r="M360" s="7">
        <f t="shared" si="15"/>
        <v>1.2475538160469667E-2</v>
      </c>
      <c r="N360" s="7">
        <f t="shared" si="16"/>
        <v>0.50980392156862742</v>
      </c>
      <c r="O360" s="7">
        <f t="shared" si="17"/>
        <v>1.648689138576779</v>
      </c>
    </row>
    <row r="361" spans="1:15" x14ac:dyDescent="0.35">
      <c r="A361">
        <v>360</v>
      </c>
      <c r="B361">
        <v>39</v>
      </c>
      <c r="C361" t="s">
        <v>12</v>
      </c>
      <c r="D361" t="s">
        <v>16</v>
      </c>
      <c r="E361" t="s">
        <v>17</v>
      </c>
      <c r="F361" t="s">
        <v>29</v>
      </c>
      <c r="G361">
        <v>3715</v>
      </c>
      <c r="H361">
        <v>417</v>
      </c>
      <c r="I361">
        <v>55</v>
      </c>
      <c r="J361" s="5">
        <v>6490</v>
      </c>
      <c r="K361" s="4">
        <v>836</v>
      </c>
      <c r="L361" s="6">
        <v>45768</v>
      </c>
      <c r="M361" s="7">
        <f t="shared" si="15"/>
        <v>0.11224764468371468</v>
      </c>
      <c r="N361" s="7">
        <f t="shared" si="16"/>
        <v>0.13189448441247004</v>
      </c>
      <c r="O361" s="7">
        <f t="shared" si="17"/>
        <v>6.7631578947368425</v>
      </c>
    </row>
    <row r="362" spans="1:15" x14ac:dyDescent="0.35">
      <c r="A362">
        <v>361</v>
      </c>
      <c r="B362">
        <v>49</v>
      </c>
      <c r="C362" t="s">
        <v>19</v>
      </c>
      <c r="D362" t="s">
        <v>23</v>
      </c>
      <c r="E362" t="s">
        <v>14</v>
      </c>
      <c r="F362" t="s">
        <v>31</v>
      </c>
      <c r="G362">
        <v>1110</v>
      </c>
      <c r="H362">
        <v>241</v>
      </c>
      <c r="I362">
        <v>67</v>
      </c>
      <c r="J362" s="5">
        <v>9581</v>
      </c>
      <c r="K362" s="4">
        <v>760</v>
      </c>
      <c r="L362" s="6">
        <v>45678</v>
      </c>
      <c r="M362" s="7">
        <f t="shared" si="15"/>
        <v>0.21711711711711712</v>
      </c>
      <c r="N362" s="7">
        <f t="shared" si="16"/>
        <v>0.27800829875518673</v>
      </c>
      <c r="O362" s="7">
        <f t="shared" si="17"/>
        <v>11.606578947368421</v>
      </c>
    </row>
    <row r="363" spans="1:15" x14ac:dyDescent="0.35">
      <c r="A363">
        <v>362</v>
      </c>
      <c r="B363">
        <v>32</v>
      </c>
      <c r="C363" t="s">
        <v>12</v>
      </c>
      <c r="D363" t="s">
        <v>27</v>
      </c>
      <c r="E363" t="s">
        <v>17</v>
      </c>
      <c r="F363" t="s">
        <v>15</v>
      </c>
      <c r="G363">
        <v>1677</v>
      </c>
      <c r="H363">
        <v>432</v>
      </c>
      <c r="I363">
        <v>72</v>
      </c>
      <c r="J363" s="5">
        <v>11880</v>
      </c>
      <c r="K363" s="4">
        <v>1083</v>
      </c>
      <c r="L363" s="6">
        <v>45761</v>
      </c>
      <c r="M363" s="7">
        <f t="shared" si="15"/>
        <v>0.25760286225402507</v>
      </c>
      <c r="N363" s="7">
        <f t="shared" si="16"/>
        <v>0.16666666666666666</v>
      </c>
      <c r="O363" s="7">
        <f t="shared" si="17"/>
        <v>9.9695290858725762</v>
      </c>
    </row>
    <row r="364" spans="1:15" x14ac:dyDescent="0.35">
      <c r="A364">
        <v>363</v>
      </c>
      <c r="B364">
        <v>45</v>
      </c>
      <c r="C364" t="s">
        <v>19</v>
      </c>
      <c r="D364" t="s">
        <v>13</v>
      </c>
      <c r="E364" t="s">
        <v>21</v>
      </c>
      <c r="F364" t="s">
        <v>31</v>
      </c>
      <c r="G364">
        <v>2249</v>
      </c>
      <c r="H364">
        <v>165</v>
      </c>
      <c r="I364">
        <v>18</v>
      </c>
      <c r="J364" s="5">
        <v>3312</v>
      </c>
      <c r="K364" s="4">
        <v>1604</v>
      </c>
      <c r="L364" s="6">
        <v>45770</v>
      </c>
      <c r="M364" s="7">
        <f t="shared" si="15"/>
        <v>7.3365940417963543E-2</v>
      </c>
      <c r="N364" s="7">
        <f t="shared" si="16"/>
        <v>0.10909090909090909</v>
      </c>
      <c r="O364" s="7">
        <f t="shared" si="17"/>
        <v>1.0648379052369077</v>
      </c>
    </row>
    <row r="365" spans="1:15" x14ac:dyDescent="0.35">
      <c r="A365">
        <v>364</v>
      </c>
      <c r="B365">
        <v>52</v>
      </c>
      <c r="C365" t="s">
        <v>19</v>
      </c>
      <c r="D365" t="s">
        <v>26</v>
      </c>
      <c r="E365" t="s">
        <v>28</v>
      </c>
      <c r="F365" t="s">
        <v>22</v>
      </c>
      <c r="G365">
        <v>2613</v>
      </c>
      <c r="H365">
        <v>458</v>
      </c>
      <c r="I365">
        <v>7</v>
      </c>
      <c r="J365" s="5">
        <v>1232</v>
      </c>
      <c r="K365" s="4">
        <v>1267</v>
      </c>
      <c r="L365" s="6">
        <v>45696</v>
      </c>
      <c r="M365" s="7">
        <f t="shared" si="15"/>
        <v>0.1752774588595484</v>
      </c>
      <c r="N365" s="7">
        <f t="shared" si="16"/>
        <v>1.5283842794759825E-2</v>
      </c>
      <c r="O365" s="7">
        <f t="shared" si="17"/>
        <v>-2.7624309392265192E-2</v>
      </c>
    </row>
    <row r="366" spans="1:15" x14ac:dyDescent="0.35">
      <c r="A366">
        <v>365</v>
      </c>
      <c r="B366">
        <v>22</v>
      </c>
      <c r="C366" t="s">
        <v>19</v>
      </c>
      <c r="D366" t="s">
        <v>26</v>
      </c>
      <c r="E366" t="s">
        <v>24</v>
      </c>
      <c r="F366" t="s">
        <v>22</v>
      </c>
      <c r="G366">
        <v>2314</v>
      </c>
      <c r="H366">
        <v>138</v>
      </c>
      <c r="I366">
        <v>54</v>
      </c>
      <c r="J366" s="5">
        <v>5292</v>
      </c>
      <c r="K366" s="4">
        <v>1650</v>
      </c>
      <c r="L366" s="6">
        <v>45668</v>
      </c>
      <c r="M366" s="7">
        <f t="shared" si="15"/>
        <v>5.9636992221261884E-2</v>
      </c>
      <c r="N366" s="7">
        <f t="shared" si="16"/>
        <v>0.39130434782608697</v>
      </c>
      <c r="O366" s="7">
        <f t="shared" si="17"/>
        <v>2.2072727272727271</v>
      </c>
    </row>
    <row r="367" spans="1:15" x14ac:dyDescent="0.35">
      <c r="A367">
        <v>366</v>
      </c>
      <c r="B367">
        <v>45</v>
      </c>
      <c r="C367" t="s">
        <v>19</v>
      </c>
      <c r="D367" t="s">
        <v>27</v>
      </c>
      <c r="E367" t="s">
        <v>30</v>
      </c>
      <c r="F367" t="s">
        <v>18</v>
      </c>
      <c r="G367">
        <v>3051</v>
      </c>
      <c r="H367">
        <v>317</v>
      </c>
      <c r="I367">
        <v>78</v>
      </c>
      <c r="J367" s="5">
        <v>8034</v>
      </c>
      <c r="K367" s="4">
        <v>207</v>
      </c>
      <c r="L367" s="6">
        <v>45693</v>
      </c>
      <c r="M367" s="7">
        <f t="shared" si="15"/>
        <v>0.10390036053752869</v>
      </c>
      <c r="N367" s="7">
        <f t="shared" si="16"/>
        <v>0.24605678233438485</v>
      </c>
      <c r="O367" s="7">
        <f t="shared" si="17"/>
        <v>37.811594202898547</v>
      </c>
    </row>
    <row r="368" spans="1:15" x14ac:dyDescent="0.35">
      <c r="A368">
        <v>367</v>
      </c>
      <c r="B368">
        <v>32</v>
      </c>
      <c r="C368" t="s">
        <v>19</v>
      </c>
      <c r="D368" t="s">
        <v>23</v>
      </c>
      <c r="E368" t="s">
        <v>17</v>
      </c>
      <c r="F368" t="s">
        <v>31</v>
      </c>
      <c r="G368">
        <v>984</v>
      </c>
      <c r="H368">
        <v>134</v>
      </c>
      <c r="I368">
        <v>76</v>
      </c>
      <c r="J368" s="5">
        <v>6688</v>
      </c>
      <c r="K368" s="4">
        <v>766</v>
      </c>
      <c r="L368" s="6">
        <v>45739</v>
      </c>
      <c r="M368" s="7">
        <f t="shared" si="15"/>
        <v>0.13617886178861788</v>
      </c>
      <c r="N368" s="7">
        <f t="shared" si="16"/>
        <v>0.56716417910447758</v>
      </c>
      <c r="O368" s="7">
        <f t="shared" si="17"/>
        <v>7.731070496083551</v>
      </c>
    </row>
    <row r="369" spans="1:15" x14ac:dyDescent="0.35">
      <c r="A369">
        <v>368</v>
      </c>
      <c r="B369">
        <v>20</v>
      </c>
      <c r="C369" t="s">
        <v>12</v>
      </c>
      <c r="D369" t="s">
        <v>13</v>
      </c>
      <c r="E369" t="s">
        <v>24</v>
      </c>
      <c r="F369" t="s">
        <v>22</v>
      </c>
      <c r="G369">
        <v>4025</v>
      </c>
      <c r="H369">
        <v>317</v>
      </c>
      <c r="I369">
        <v>6</v>
      </c>
      <c r="J369" s="5">
        <v>954</v>
      </c>
      <c r="K369" s="4">
        <v>974</v>
      </c>
      <c r="L369" s="6">
        <v>45684</v>
      </c>
      <c r="M369" s="7">
        <f t="shared" si="15"/>
        <v>7.8757763975155284E-2</v>
      </c>
      <c r="N369" s="7">
        <f t="shared" si="16"/>
        <v>1.8927444794952682E-2</v>
      </c>
      <c r="O369" s="7">
        <f t="shared" si="17"/>
        <v>-2.0533880903490759E-2</v>
      </c>
    </row>
    <row r="370" spans="1:15" x14ac:dyDescent="0.35">
      <c r="A370">
        <v>369</v>
      </c>
      <c r="B370">
        <v>25</v>
      </c>
      <c r="C370" t="s">
        <v>12</v>
      </c>
      <c r="D370" t="s">
        <v>23</v>
      </c>
      <c r="E370" t="s">
        <v>25</v>
      </c>
      <c r="F370" t="s">
        <v>29</v>
      </c>
      <c r="G370">
        <v>2398</v>
      </c>
      <c r="H370">
        <v>89</v>
      </c>
      <c r="I370">
        <v>37</v>
      </c>
      <c r="J370" s="5">
        <v>2960</v>
      </c>
      <c r="K370" s="4">
        <v>419</v>
      </c>
      <c r="L370" s="6">
        <v>45689</v>
      </c>
      <c r="M370" s="7">
        <f t="shared" si="15"/>
        <v>3.711426188490409E-2</v>
      </c>
      <c r="N370" s="7">
        <f t="shared" si="16"/>
        <v>0.4157303370786517</v>
      </c>
      <c r="O370" s="7">
        <f t="shared" si="17"/>
        <v>6.064439140811456</v>
      </c>
    </row>
    <row r="371" spans="1:15" x14ac:dyDescent="0.35">
      <c r="A371">
        <v>370</v>
      </c>
      <c r="B371">
        <v>36</v>
      </c>
      <c r="C371" t="s">
        <v>12</v>
      </c>
      <c r="D371" t="s">
        <v>27</v>
      </c>
      <c r="E371" t="s">
        <v>30</v>
      </c>
      <c r="F371" t="s">
        <v>29</v>
      </c>
      <c r="G371">
        <v>1187</v>
      </c>
      <c r="H371">
        <v>156</v>
      </c>
      <c r="I371">
        <v>8</v>
      </c>
      <c r="J371" s="5">
        <v>1192</v>
      </c>
      <c r="K371" s="4">
        <v>1189</v>
      </c>
      <c r="L371" s="6">
        <v>45669</v>
      </c>
      <c r="M371" s="7">
        <f t="shared" si="15"/>
        <v>0.13142375737152484</v>
      </c>
      <c r="N371" s="7">
        <f t="shared" si="16"/>
        <v>5.128205128205128E-2</v>
      </c>
      <c r="O371" s="7">
        <f t="shared" si="17"/>
        <v>2.5231286795626578E-3</v>
      </c>
    </row>
    <row r="372" spans="1:15" x14ac:dyDescent="0.35">
      <c r="A372">
        <v>371</v>
      </c>
      <c r="B372">
        <v>38</v>
      </c>
      <c r="C372" t="s">
        <v>12</v>
      </c>
      <c r="D372" t="s">
        <v>13</v>
      </c>
      <c r="E372" t="s">
        <v>33</v>
      </c>
      <c r="F372" t="s">
        <v>29</v>
      </c>
      <c r="G372">
        <v>4458</v>
      </c>
      <c r="H372">
        <v>65</v>
      </c>
      <c r="I372">
        <v>5</v>
      </c>
      <c r="J372" s="5">
        <v>940</v>
      </c>
      <c r="K372" s="4">
        <v>774</v>
      </c>
      <c r="L372" s="6">
        <v>45661</v>
      </c>
      <c r="M372" s="7">
        <f t="shared" si="15"/>
        <v>1.4580529385374607E-2</v>
      </c>
      <c r="N372" s="7">
        <f t="shared" si="16"/>
        <v>7.6923076923076927E-2</v>
      </c>
      <c r="O372" s="7">
        <f t="shared" si="17"/>
        <v>0.2144702842377261</v>
      </c>
    </row>
    <row r="373" spans="1:15" x14ac:dyDescent="0.35">
      <c r="A373">
        <v>372</v>
      </c>
      <c r="B373">
        <v>22</v>
      </c>
      <c r="C373" t="s">
        <v>19</v>
      </c>
      <c r="D373" t="s">
        <v>16</v>
      </c>
      <c r="E373" t="s">
        <v>30</v>
      </c>
      <c r="F373" t="s">
        <v>31</v>
      </c>
      <c r="G373">
        <v>1423</v>
      </c>
      <c r="H373">
        <v>151</v>
      </c>
      <c r="I373">
        <v>63</v>
      </c>
      <c r="J373" s="5">
        <v>6678</v>
      </c>
      <c r="K373" s="4">
        <v>446</v>
      </c>
      <c r="L373" s="6">
        <v>45660</v>
      </c>
      <c r="M373" s="7">
        <f t="shared" si="15"/>
        <v>0.10611384399156711</v>
      </c>
      <c r="N373" s="7">
        <f t="shared" si="16"/>
        <v>0.41721854304635764</v>
      </c>
      <c r="O373" s="7">
        <f t="shared" si="17"/>
        <v>13.973094170403588</v>
      </c>
    </row>
    <row r="374" spans="1:15" x14ac:dyDescent="0.35">
      <c r="A374">
        <v>373</v>
      </c>
      <c r="B374">
        <v>22</v>
      </c>
      <c r="C374" t="s">
        <v>19</v>
      </c>
      <c r="D374" t="s">
        <v>20</v>
      </c>
      <c r="E374" t="s">
        <v>24</v>
      </c>
      <c r="F374" t="s">
        <v>31</v>
      </c>
      <c r="G374">
        <v>2900</v>
      </c>
      <c r="H374">
        <v>245</v>
      </c>
      <c r="I374">
        <v>29</v>
      </c>
      <c r="J374" s="5">
        <v>3045</v>
      </c>
      <c r="K374" s="4">
        <v>1129</v>
      </c>
      <c r="L374" s="6">
        <v>45718</v>
      </c>
      <c r="M374" s="7">
        <f t="shared" si="15"/>
        <v>8.4482758620689657E-2</v>
      </c>
      <c r="N374" s="7">
        <f t="shared" si="16"/>
        <v>0.11836734693877551</v>
      </c>
      <c r="O374" s="7">
        <f t="shared" si="17"/>
        <v>1.6970770593445528</v>
      </c>
    </row>
    <row r="375" spans="1:15" x14ac:dyDescent="0.35">
      <c r="A375">
        <v>374</v>
      </c>
      <c r="B375">
        <v>28</v>
      </c>
      <c r="C375" t="s">
        <v>19</v>
      </c>
      <c r="D375" t="s">
        <v>23</v>
      </c>
      <c r="E375" t="s">
        <v>33</v>
      </c>
      <c r="F375" t="s">
        <v>22</v>
      </c>
      <c r="G375">
        <v>4047</v>
      </c>
      <c r="H375">
        <v>314</v>
      </c>
      <c r="I375">
        <v>54</v>
      </c>
      <c r="J375" s="5">
        <v>8748</v>
      </c>
      <c r="K375" s="4">
        <v>845</v>
      </c>
      <c r="L375" s="6">
        <v>45704</v>
      </c>
      <c r="M375" s="7">
        <f t="shared" si="15"/>
        <v>7.7588337039782559E-2</v>
      </c>
      <c r="N375" s="7">
        <f t="shared" si="16"/>
        <v>0.17197452229299362</v>
      </c>
      <c r="O375" s="7">
        <f t="shared" si="17"/>
        <v>9.3526627218934912</v>
      </c>
    </row>
    <row r="376" spans="1:15" x14ac:dyDescent="0.35">
      <c r="A376">
        <v>375</v>
      </c>
      <c r="B376">
        <v>47</v>
      </c>
      <c r="C376" t="s">
        <v>19</v>
      </c>
      <c r="D376" t="s">
        <v>23</v>
      </c>
      <c r="E376" t="s">
        <v>21</v>
      </c>
      <c r="F376" t="s">
        <v>18</v>
      </c>
      <c r="G376">
        <v>2399</v>
      </c>
      <c r="H376">
        <v>262</v>
      </c>
      <c r="I376">
        <v>7</v>
      </c>
      <c r="J376" s="5">
        <v>1197</v>
      </c>
      <c r="K376" s="4">
        <v>787</v>
      </c>
      <c r="L376" s="6">
        <v>45769</v>
      </c>
      <c r="M376" s="7">
        <f t="shared" si="15"/>
        <v>0.10921217173822426</v>
      </c>
      <c r="N376" s="7">
        <f t="shared" si="16"/>
        <v>2.6717557251908396E-2</v>
      </c>
      <c r="O376" s="7">
        <f t="shared" si="17"/>
        <v>0.52096569250317659</v>
      </c>
    </row>
    <row r="377" spans="1:15" x14ac:dyDescent="0.35">
      <c r="A377">
        <v>376</v>
      </c>
      <c r="B377">
        <v>52</v>
      </c>
      <c r="C377" t="s">
        <v>19</v>
      </c>
      <c r="D377" t="s">
        <v>16</v>
      </c>
      <c r="E377" t="s">
        <v>32</v>
      </c>
      <c r="F377" t="s">
        <v>22</v>
      </c>
      <c r="G377">
        <v>3848</v>
      </c>
      <c r="H377">
        <v>205</v>
      </c>
      <c r="I377">
        <v>66</v>
      </c>
      <c r="J377" s="5">
        <v>10824</v>
      </c>
      <c r="K377" s="4">
        <v>1640</v>
      </c>
      <c r="L377" s="6">
        <v>45691</v>
      </c>
      <c r="M377" s="7">
        <f t="shared" si="15"/>
        <v>5.3274428274428277E-2</v>
      </c>
      <c r="N377" s="7">
        <f t="shared" si="16"/>
        <v>0.32195121951219513</v>
      </c>
      <c r="O377" s="7">
        <f t="shared" si="17"/>
        <v>5.6</v>
      </c>
    </row>
    <row r="378" spans="1:15" x14ac:dyDescent="0.35">
      <c r="A378">
        <v>377</v>
      </c>
      <c r="B378">
        <v>28</v>
      </c>
      <c r="C378" t="s">
        <v>19</v>
      </c>
      <c r="D378" t="s">
        <v>27</v>
      </c>
      <c r="E378" t="s">
        <v>30</v>
      </c>
      <c r="F378" t="s">
        <v>22</v>
      </c>
      <c r="G378">
        <v>4636</v>
      </c>
      <c r="H378">
        <v>356</v>
      </c>
      <c r="I378">
        <v>51</v>
      </c>
      <c r="J378" s="5">
        <v>6987</v>
      </c>
      <c r="K378" s="4">
        <v>537</v>
      </c>
      <c r="L378" s="6">
        <v>45680</v>
      </c>
      <c r="M378" s="7">
        <f t="shared" si="15"/>
        <v>7.6790336496980152E-2</v>
      </c>
      <c r="N378" s="7">
        <f t="shared" si="16"/>
        <v>0.14325842696629212</v>
      </c>
      <c r="O378" s="7">
        <f t="shared" si="17"/>
        <v>12.011173184357542</v>
      </c>
    </row>
    <row r="379" spans="1:15" x14ac:dyDescent="0.35">
      <c r="A379">
        <v>378</v>
      </c>
      <c r="B379">
        <v>28</v>
      </c>
      <c r="C379" t="s">
        <v>12</v>
      </c>
      <c r="D379" t="s">
        <v>26</v>
      </c>
      <c r="E379" t="s">
        <v>24</v>
      </c>
      <c r="F379" t="s">
        <v>29</v>
      </c>
      <c r="G379">
        <v>3747</v>
      </c>
      <c r="H379">
        <v>433</v>
      </c>
      <c r="I379">
        <v>26</v>
      </c>
      <c r="J379" s="5">
        <v>3848</v>
      </c>
      <c r="K379" s="4">
        <v>472</v>
      </c>
      <c r="L379" s="6">
        <v>45690</v>
      </c>
      <c r="M379" s="7">
        <f t="shared" si="15"/>
        <v>0.11555911395783293</v>
      </c>
      <c r="N379" s="7">
        <f t="shared" si="16"/>
        <v>6.0046189376443418E-2</v>
      </c>
      <c r="O379" s="7">
        <f t="shared" si="17"/>
        <v>7.1525423728813555</v>
      </c>
    </row>
    <row r="380" spans="1:15" x14ac:dyDescent="0.35">
      <c r="A380">
        <v>379</v>
      </c>
      <c r="B380">
        <v>45</v>
      </c>
      <c r="C380" t="s">
        <v>12</v>
      </c>
      <c r="D380" t="s">
        <v>23</v>
      </c>
      <c r="E380" t="s">
        <v>14</v>
      </c>
      <c r="F380" t="s">
        <v>29</v>
      </c>
      <c r="G380">
        <v>1223</v>
      </c>
      <c r="H380">
        <v>430</v>
      </c>
      <c r="I380">
        <v>20</v>
      </c>
      <c r="J380" s="5">
        <v>3560</v>
      </c>
      <c r="K380" s="4">
        <v>1289</v>
      </c>
      <c r="L380" s="6">
        <v>45727</v>
      </c>
      <c r="M380" s="7">
        <f t="shared" si="15"/>
        <v>0.35159443990188061</v>
      </c>
      <c r="N380" s="7">
        <f t="shared" si="16"/>
        <v>4.6511627906976744E-2</v>
      </c>
      <c r="O380" s="7">
        <f t="shared" si="17"/>
        <v>1.7618308766485649</v>
      </c>
    </row>
    <row r="381" spans="1:15" x14ac:dyDescent="0.35">
      <c r="A381">
        <v>380</v>
      </c>
      <c r="B381">
        <v>20</v>
      </c>
      <c r="C381" t="s">
        <v>19</v>
      </c>
      <c r="D381" t="s">
        <v>27</v>
      </c>
      <c r="E381" t="s">
        <v>32</v>
      </c>
      <c r="F381" t="s">
        <v>18</v>
      </c>
      <c r="G381">
        <v>4719</v>
      </c>
      <c r="H381">
        <v>50</v>
      </c>
      <c r="I381">
        <v>76</v>
      </c>
      <c r="J381" s="5">
        <v>12616</v>
      </c>
      <c r="K381" s="4">
        <v>1982</v>
      </c>
      <c r="L381" s="6">
        <v>45715</v>
      </c>
      <c r="M381" s="7">
        <f t="shared" si="15"/>
        <v>1.0595465140919686E-2</v>
      </c>
      <c r="N381" s="7">
        <f t="shared" si="16"/>
        <v>1.52</v>
      </c>
      <c r="O381" s="7">
        <f t="shared" si="17"/>
        <v>5.3652875882946516</v>
      </c>
    </row>
    <row r="382" spans="1:15" x14ac:dyDescent="0.35">
      <c r="A382">
        <v>381</v>
      </c>
      <c r="B382">
        <v>31</v>
      </c>
      <c r="C382" t="s">
        <v>19</v>
      </c>
      <c r="D382" t="s">
        <v>13</v>
      </c>
      <c r="E382" t="s">
        <v>32</v>
      </c>
      <c r="F382" t="s">
        <v>15</v>
      </c>
      <c r="G382">
        <v>1836</v>
      </c>
      <c r="H382">
        <v>166</v>
      </c>
      <c r="I382">
        <v>57</v>
      </c>
      <c r="J382" s="5">
        <v>11115</v>
      </c>
      <c r="K382" s="4">
        <v>1525</v>
      </c>
      <c r="L382" s="6">
        <v>45733</v>
      </c>
      <c r="M382" s="7">
        <f t="shared" si="15"/>
        <v>9.0413943355119819E-2</v>
      </c>
      <c r="N382" s="7">
        <f t="shared" si="16"/>
        <v>0.34337349397590361</v>
      </c>
      <c r="O382" s="7">
        <f t="shared" si="17"/>
        <v>6.2885245901639344</v>
      </c>
    </row>
    <row r="383" spans="1:15" x14ac:dyDescent="0.35">
      <c r="A383">
        <v>382</v>
      </c>
      <c r="B383">
        <v>40</v>
      </c>
      <c r="C383" t="s">
        <v>19</v>
      </c>
      <c r="D383" t="s">
        <v>23</v>
      </c>
      <c r="E383" t="s">
        <v>33</v>
      </c>
      <c r="F383" t="s">
        <v>31</v>
      </c>
      <c r="G383">
        <v>892</v>
      </c>
      <c r="H383">
        <v>404</v>
      </c>
      <c r="I383">
        <v>10</v>
      </c>
      <c r="J383" s="5">
        <v>1700</v>
      </c>
      <c r="K383" s="4">
        <v>1474</v>
      </c>
      <c r="L383" s="6">
        <v>45777</v>
      </c>
      <c r="M383" s="7">
        <f t="shared" si="15"/>
        <v>0.452914798206278</v>
      </c>
      <c r="N383" s="7">
        <f t="shared" si="16"/>
        <v>2.4752475247524754E-2</v>
      </c>
      <c r="O383" s="7">
        <f t="shared" si="17"/>
        <v>0.15332428765264586</v>
      </c>
    </row>
    <row r="384" spans="1:15" x14ac:dyDescent="0.35">
      <c r="A384">
        <v>383</v>
      </c>
      <c r="B384">
        <v>36</v>
      </c>
      <c r="C384" t="s">
        <v>19</v>
      </c>
      <c r="D384" t="s">
        <v>20</v>
      </c>
      <c r="E384" t="s">
        <v>32</v>
      </c>
      <c r="F384" t="s">
        <v>29</v>
      </c>
      <c r="G384">
        <v>3097</v>
      </c>
      <c r="H384">
        <v>191</v>
      </c>
      <c r="I384">
        <v>76</v>
      </c>
      <c r="J384" s="5">
        <v>8664</v>
      </c>
      <c r="K384" s="4">
        <v>901</v>
      </c>
      <c r="L384" s="6">
        <v>45770</v>
      </c>
      <c r="M384" s="7">
        <f t="shared" si="15"/>
        <v>6.1672586373910238E-2</v>
      </c>
      <c r="N384" s="7">
        <f t="shared" si="16"/>
        <v>0.39790575916230364</v>
      </c>
      <c r="O384" s="7">
        <f t="shared" si="17"/>
        <v>8.6159822419533842</v>
      </c>
    </row>
    <row r="385" spans="1:15" x14ac:dyDescent="0.35">
      <c r="A385">
        <v>384</v>
      </c>
      <c r="B385">
        <v>40</v>
      </c>
      <c r="C385" t="s">
        <v>19</v>
      </c>
      <c r="D385" t="s">
        <v>20</v>
      </c>
      <c r="E385" t="s">
        <v>28</v>
      </c>
      <c r="F385" t="s">
        <v>31</v>
      </c>
      <c r="G385">
        <v>780</v>
      </c>
      <c r="H385">
        <v>473</v>
      </c>
      <c r="I385">
        <v>18</v>
      </c>
      <c r="J385" s="5">
        <v>3258</v>
      </c>
      <c r="K385" s="4">
        <v>353</v>
      </c>
      <c r="L385" s="6">
        <v>45705</v>
      </c>
      <c r="M385" s="7">
        <f t="shared" si="15"/>
        <v>0.60641025641025637</v>
      </c>
      <c r="N385" s="7">
        <f t="shared" si="16"/>
        <v>3.8054968287526428E-2</v>
      </c>
      <c r="O385" s="7">
        <f t="shared" si="17"/>
        <v>8.2294617563739383</v>
      </c>
    </row>
    <row r="386" spans="1:15" x14ac:dyDescent="0.35">
      <c r="A386">
        <v>385</v>
      </c>
      <c r="B386">
        <v>36</v>
      </c>
      <c r="C386" t="s">
        <v>12</v>
      </c>
      <c r="D386" t="s">
        <v>13</v>
      </c>
      <c r="E386" t="s">
        <v>30</v>
      </c>
      <c r="F386" t="s">
        <v>18</v>
      </c>
      <c r="G386">
        <v>4588</v>
      </c>
      <c r="H386">
        <v>132</v>
      </c>
      <c r="I386">
        <v>55</v>
      </c>
      <c r="J386" s="5">
        <v>6655</v>
      </c>
      <c r="K386" s="4">
        <v>1098</v>
      </c>
      <c r="L386" s="6">
        <v>45685</v>
      </c>
      <c r="M386" s="7">
        <f t="shared" si="15"/>
        <v>2.8770706190061029E-2</v>
      </c>
      <c r="N386" s="7">
        <f t="shared" si="16"/>
        <v>0.41666666666666669</v>
      </c>
      <c r="O386" s="7">
        <f t="shared" si="17"/>
        <v>5.0610200364298725</v>
      </c>
    </row>
    <row r="387" spans="1:15" x14ac:dyDescent="0.35">
      <c r="A387">
        <v>386</v>
      </c>
      <c r="B387">
        <v>36</v>
      </c>
      <c r="C387" t="s">
        <v>19</v>
      </c>
      <c r="D387" t="s">
        <v>13</v>
      </c>
      <c r="E387" t="s">
        <v>32</v>
      </c>
      <c r="F387" t="s">
        <v>22</v>
      </c>
      <c r="G387">
        <v>2720</v>
      </c>
      <c r="H387">
        <v>376</v>
      </c>
      <c r="I387">
        <v>67</v>
      </c>
      <c r="J387" s="5">
        <v>13266</v>
      </c>
      <c r="K387" s="4">
        <v>1296</v>
      </c>
      <c r="L387" s="6">
        <v>45671</v>
      </c>
      <c r="M387" s="7">
        <f t="shared" ref="M387:M450" si="18">H387/G387</f>
        <v>0.13823529411764707</v>
      </c>
      <c r="N387" s="7">
        <f t="shared" ref="N387:N450" si="19">I387/H387</f>
        <v>0.17819148936170212</v>
      </c>
      <c r="O387" s="7">
        <f t="shared" ref="O387:O450" si="20">(J387-K387)/K387</f>
        <v>9.2361111111111107</v>
      </c>
    </row>
    <row r="388" spans="1:15" x14ac:dyDescent="0.35">
      <c r="A388">
        <v>387</v>
      </c>
      <c r="B388">
        <v>34</v>
      </c>
      <c r="C388" t="s">
        <v>12</v>
      </c>
      <c r="D388" t="s">
        <v>16</v>
      </c>
      <c r="E388" t="s">
        <v>30</v>
      </c>
      <c r="F388" t="s">
        <v>31</v>
      </c>
      <c r="G388">
        <v>1643</v>
      </c>
      <c r="H388">
        <v>471</v>
      </c>
      <c r="I388">
        <v>57</v>
      </c>
      <c r="J388" s="5">
        <v>6783</v>
      </c>
      <c r="K388" s="4">
        <v>875</v>
      </c>
      <c r="L388" s="6">
        <v>45721</v>
      </c>
      <c r="M388" s="7">
        <f t="shared" si="18"/>
        <v>0.2866707242848448</v>
      </c>
      <c r="N388" s="7">
        <f t="shared" si="19"/>
        <v>0.12101910828025478</v>
      </c>
      <c r="O388" s="7">
        <f t="shared" si="20"/>
        <v>6.7519999999999998</v>
      </c>
    </row>
    <row r="389" spans="1:15" x14ac:dyDescent="0.35">
      <c r="A389">
        <v>388</v>
      </c>
      <c r="B389">
        <v>52</v>
      </c>
      <c r="C389" t="s">
        <v>12</v>
      </c>
      <c r="D389" t="s">
        <v>26</v>
      </c>
      <c r="E389" t="s">
        <v>30</v>
      </c>
      <c r="F389" t="s">
        <v>18</v>
      </c>
      <c r="G389">
        <v>3947</v>
      </c>
      <c r="H389">
        <v>357</v>
      </c>
      <c r="I389">
        <v>18</v>
      </c>
      <c r="J389" s="5">
        <v>2376</v>
      </c>
      <c r="K389" s="4">
        <v>1426</v>
      </c>
      <c r="L389" s="6">
        <v>45716</v>
      </c>
      <c r="M389" s="7">
        <f t="shared" si="18"/>
        <v>9.0448441854573097E-2</v>
      </c>
      <c r="N389" s="7">
        <f t="shared" si="19"/>
        <v>5.0420168067226892E-2</v>
      </c>
      <c r="O389" s="7">
        <f t="shared" si="20"/>
        <v>0.66619915848527345</v>
      </c>
    </row>
    <row r="390" spans="1:15" x14ac:dyDescent="0.35">
      <c r="A390">
        <v>389</v>
      </c>
      <c r="B390">
        <v>45</v>
      </c>
      <c r="C390" t="s">
        <v>12</v>
      </c>
      <c r="D390" t="s">
        <v>16</v>
      </c>
      <c r="E390" t="s">
        <v>17</v>
      </c>
      <c r="F390" t="s">
        <v>31</v>
      </c>
      <c r="G390">
        <v>2881</v>
      </c>
      <c r="H390">
        <v>271</v>
      </c>
      <c r="I390">
        <v>45</v>
      </c>
      <c r="J390" s="5">
        <v>6615</v>
      </c>
      <c r="K390" s="4">
        <v>1931</v>
      </c>
      <c r="L390" s="6">
        <v>45659</v>
      </c>
      <c r="M390" s="7">
        <f t="shared" si="18"/>
        <v>9.4064560916348489E-2</v>
      </c>
      <c r="N390" s="7">
        <f t="shared" si="19"/>
        <v>0.16605166051660517</v>
      </c>
      <c r="O390" s="7">
        <f t="shared" si="20"/>
        <v>2.4256861729673744</v>
      </c>
    </row>
    <row r="391" spans="1:15" x14ac:dyDescent="0.35">
      <c r="A391">
        <v>390</v>
      </c>
      <c r="B391">
        <v>47</v>
      </c>
      <c r="C391" t="s">
        <v>19</v>
      </c>
      <c r="D391" t="s">
        <v>27</v>
      </c>
      <c r="E391" t="s">
        <v>24</v>
      </c>
      <c r="F391" t="s">
        <v>15</v>
      </c>
      <c r="G391">
        <v>4508</v>
      </c>
      <c r="H391">
        <v>169</v>
      </c>
      <c r="I391">
        <v>59</v>
      </c>
      <c r="J391" s="5">
        <v>10148</v>
      </c>
      <c r="K391" s="4">
        <v>1239</v>
      </c>
      <c r="L391" s="6">
        <v>45668</v>
      </c>
      <c r="M391" s="7">
        <f t="shared" si="18"/>
        <v>3.7488908606921029E-2</v>
      </c>
      <c r="N391" s="7">
        <f t="shared" si="19"/>
        <v>0.34911242603550297</v>
      </c>
      <c r="O391" s="7">
        <f t="shared" si="20"/>
        <v>7.1904761904761907</v>
      </c>
    </row>
    <row r="392" spans="1:15" x14ac:dyDescent="0.35">
      <c r="A392">
        <v>391</v>
      </c>
      <c r="B392">
        <v>37</v>
      </c>
      <c r="C392" t="s">
        <v>12</v>
      </c>
      <c r="D392" t="s">
        <v>23</v>
      </c>
      <c r="E392" t="s">
        <v>25</v>
      </c>
      <c r="F392" t="s">
        <v>15</v>
      </c>
      <c r="G392">
        <v>2085</v>
      </c>
      <c r="H392">
        <v>304</v>
      </c>
      <c r="I392">
        <v>25</v>
      </c>
      <c r="J392" s="5">
        <v>3175</v>
      </c>
      <c r="K392" s="4">
        <v>1548</v>
      </c>
      <c r="L392" s="6">
        <v>45724</v>
      </c>
      <c r="M392" s="7">
        <f t="shared" si="18"/>
        <v>0.14580335731414867</v>
      </c>
      <c r="N392" s="7">
        <f t="shared" si="19"/>
        <v>8.2236842105263164E-2</v>
      </c>
      <c r="O392" s="7">
        <f t="shared" si="20"/>
        <v>1.0510335917312661</v>
      </c>
    </row>
    <row r="393" spans="1:15" x14ac:dyDescent="0.35">
      <c r="A393">
        <v>392</v>
      </c>
      <c r="B393">
        <v>34</v>
      </c>
      <c r="C393" t="s">
        <v>12</v>
      </c>
      <c r="D393" t="s">
        <v>13</v>
      </c>
      <c r="E393" t="s">
        <v>33</v>
      </c>
      <c r="F393" t="s">
        <v>29</v>
      </c>
      <c r="G393">
        <v>2544</v>
      </c>
      <c r="H393">
        <v>250</v>
      </c>
      <c r="I393">
        <v>65</v>
      </c>
      <c r="J393" s="5">
        <v>7410</v>
      </c>
      <c r="K393" s="4">
        <v>1547</v>
      </c>
      <c r="L393" s="6">
        <v>45745</v>
      </c>
      <c r="M393" s="7">
        <f t="shared" si="18"/>
        <v>9.8270440251572333E-2</v>
      </c>
      <c r="N393" s="7">
        <f t="shared" si="19"/>
        <v>0.26</v>
      </c>
      <c r="O393" s="7">
        <f t="shared" si="20"/>
        <v>3.7899159663865545</v>
      </c>
    </row>
    <row r="394" spans="1:15" x14ac:dyDescent="0.35">
      <c r="A394">
        <v>393</v>
      </c>
      <c r="B394">
        <v>29</v>
      </c>
      <c r="C394" t="s">
        <v>12</v>
      </c>
      <c r="D394" t="s">
        <v>16</v>
      </c>
      <c r="E394" t="s">
        <v>28</v>
      </c>
      <c r="F394" t="s">
        <v>22</v>
      </c>
      <c r="G394">
        <v>3027</v>
      </c>
      <c r="H394">
        <v>114</v>
      </c>
      <c r="I394">
        <v>12</v>
      </c>
      <c r="J394" s="5">
        <v>1992</v>
      </c>
      <c r="K394" s="4">
        <v>1524</v>
      </c>
      <c r="L394" s="6">
        <v>45733</v>
      </c>
      <c r="M394" s="7">
        <f t="shared" si="18"/>
        <v>3.7661050545094152E-2</v>
      </c>
      <c r="N394" s="7">
        <f t="shared" si="19"/>
        <v>0.10526315789473684</v>
      </c>
      <c r="O394" s="7">
        <f t="shared" si="20"/>
        <v>0.30708661417322836</v>
      </c>
    </row>
    <row r="395" spans="1:15" x14ac:dyDescent="0.35">
      <c r="A395">
        <v>394</v>
      </c>
      <c r="B395">
        <v>46</v>
      </c>
      <c r="C395" t="s">
        <v>12</v>
      </c>
      <c r="D395" t="s">
        <v>13</v>
      </c>
      <c r="E395" t="s">
        <v>28</v>
      </c>
      <c r="F395" t="s">
        <v>22</v>
      </c>
      <c r="G395">
        <v>1026</v>
      </c>
      <c r="H395">
        <v>410</v>
      </c>
      <c r="I395">
        <v>23</v>
      </c>
      <c r="J395" s="5">
        <v>3013</v>
      </c>
      <c r="K395" s="4">
        <v>225</v>
      </c>
      <c r="L395" s="6">
        <v>45761</v>
      </c>
      <c r="M395" s="7">
        <f t="shared" si="18"/>
        <v>0.39961013645224169</v>
      </c>
      <c r="N395" s="7">
        <f t="shared" si="19"/>
        <v>5.6097560975609757E-2</v>
      </c>
      <c r="O395" s="7">
        <f t="shared" si="20"/>
        <v>12.391111111111112</v>
      </c>
    </row>
    <row r="396" spans="1:15" x14ac:dyDescent="0.35">
      <c r="A396">
        <v>395</v>
      </c>
      <c r="B396">
        <v>24</v>
      </c>
      <c r="C396" t="s">
        <v>19</v>
      </c>
      <c r="D396" t="s">
        <v>13</v>
      </c>
      <c r="E396" t="s">
        <v>32</v>
      </c>
      <c r="F396" t="s">
        <v>22</v>
      </c>
      <c r="G396">
        <v>2073</v>
      </c>
      <c r="H396">
        <v>325</v>
      </c>
      <c r="I396">
        <v>33</v>
      </c>
      <c r="J396" s="5">
        <v>2739</v>
      </c>
      <c r="K396" s="4">
        <v>378</v>
      </c>
      <c r="L396" s="6">
        <v>45679</v>
      </c>
      <c r="M396" s="7">
        <f t="shared" si="18"/>
        <v>0.15677761698022191</v>
      </c>
      <c r="N396" s="7">
        <f t="shared" si="19"/>
        <v>0.10153846153846154</v>
      </c>
      <c r="O396" s="7">
        <f t="shared" si="20"/>
        <v>6.246031746031746</v>
      </c>
    </row>
    <row r="397" spans="1:15" x14ac:dyDescent="0.35">
      <c r="A397">
        <v>396</v>
      </c>
      <c r="B397">
        <v>18</v>
      </c>
      <c r="C397" t="s">
        <v>19</v>
      </c>
      <c r="D397" t="s">
        <v>26</v>
      </c>
      <c r="E397" t="s">
        <v>17</v>
      </c>
      <c r="F397" t="s">
        <v>31</v>
      </c>
      <c r="G397">
        <v>1078</v>
      </c>
      <c r="H397">
        <v>391</v>
      </c>
      <c r="I397">
        <v>70</v>
      </c>
      <c r="J397" s="5">
        <v>11900</v>
      </c>
      <c r="K397" s="4">
        <v>1385</v>
      </c>
      <c r="L397" s="6">
        <v>45744</v>
      </c>
      <c r="M397" s="7">
        <f t="shared" si="18"/>
        <v>0.36270871985157699</v>
      </c>
      <c r="N397" s="7">
        <f t="shared" si="19"/>
        <v>0.17902813299232737</v>
      </c>
      <c r="O397" s="7">
        <f t="shared" si="20"/>
        <v>7.5920577617328524</v>
      </c>
    </row>
    <row r="398" spans="1:15" x14ac:dyDescent="0.35">
      <c r="A398">
        <v>397</v>
      </c>
      <c r="B398">
        <v>29</v>
      </c>
      <c r="C398" t="s">
        <v>12</v>
      </c>
      <c r="D398" t="s">
        <v>16</v>
      </c>
      <c r="E398" t="s">
        <v>28</v>
      </c>
      <c r="F398" t="s">
        <v>18</v>
      </c>
      <c r="G398">
        <v>4505</v>
      </c>
      <c r="H398">
        <v>311</v>
      </c>
      <c r="I398">
        <v>29</v>
      </c>
      <c r="J398" s="5">
        <v>2784</v>
      </c>
      <c r="K398" s="4">
        <v>1945</v>
      </c>
      <c r="L398" s="6">
        <v>45747</v>
      </c>
      <c r="M398" s="7">
        <f t="shared" si="18"/>
        <v>6.9034406215316313E-2</v>
      </c>
      <c r="N398" s="7">
        <f t="shared" si="19"/>
        <v>9.3247588424437297E-2</v>
      </c>
      <c r="O398" s="7">
        <f t="shared" si="20"/>
        <v>0.43136246786632393</v>
      </c>
    </row>
    <row r="399" spans="1:15" x14ac:dyDescent="0.35">
      <c r="A399">
        <v>398</v>
      </c>
      <c r="B399">
        <v>52</v>
      </c>
      <c r="C399" t="s">
        <v>19</v>
      </c>
      <c r="D399" t="s">
        <v>26</v>
      </c>
      <c r="E399" t="s">
        <v>17</v>
      </c>
      <c r="F399" t="s">
        <v>15</v>
      </c>
      <c r="G399">
        <v>4878</v>
      </c>
      <c r="H399">
        <v>185</v>
      </c>
      <c r="I399">
        <v>69</v>
      </c>
      <c r="J399" s="5">
        <v>11868</v>
      </c>
      <c r="K399" s="4">
        <v>640</v>
      </c>
      <c r="L399" s="6">
        <v>45671</v>
      </c>
      <c r="M399" s="7">
        <f t="shared" si="18"/>
        <v>3.7925379253792538E-2</v>
      </c>
      <c r="N399" s="7">
        <f t="shared" si="19"/>
        <v>0.37297297297297299</v>
      </c>
      <c r="O399" s="7">
        <f t="shared" si="20"/>
        <v>17.543749999999999</v>
      </c>
    </row>
    <row r="400" spans="1:15" x14ac:dyDescent="0.35">
      <c r="A400">
        <v>399</v>
      </c>
      <c r="B400">
        <v>25</v>
      </c>
      <c r="C400" t="s">
        <v>12</v>
      </c>
      <c r="D400" t="s">
        <v>20</v>
      </c>
      <c r="E400" t="s">
        <v>32</v>
      </c>
      <c r="F400" t="s">
        <v>15</v>
      </c>
      <c r="G400">
        <v>1955</v>
      </c>
      <c r="H400">
        <v>286</v>
      </c>
      <c r="I400">
        <v>60</v>
      </c>
      <c r="J400" s="5">
        <v>5520</v>
      </c>
      <c r="K400" s="4">
        <v>1912</v>
      </c>
      <c r="L400" s="6">
        <v>45754</v>
      </c>
      <c r="M400" s="7">
        <f t="shared" si="18"/>
        <v>0.14629156010230179</v>
      </c>
      <c r="N400" s="7">
        <f t="shared" si="19"/>
        <v>0.20979020979020979</v>
      </c>
      <c r="O400" s="7">
        <f t="shared" si="20"/>
        <v>1.887029288702929</v>
      </c>
    </row>
    <row r="401" spans="1:15" x14ac:dyDescent="0.35">
      <c r="A401">
        <v>400</v>
      </c>
      <c r="B401">
        <v>26</v>
      </c>
      <c r="C401" t="s">
        <v>12</v>
      </c>
      <c r="D401" t="s">
        <v>13</v>
      </c>
      <c r="E401" t="s">
        <v>17</v>
      </c>
      <c r="F401" t="s">
        <v>15</v>
      </c>
      <c r="G401">
        <v>840</v>
      </c>
      <c r="H401">
        <v>294</v>
      </c>
      <c r="I401">
        <v>53</v>
      </c>
      <c r="J401" s="5">
        <v>7473</v>
      </c>
      <c r="K401" s="4">
        <v>903</v>
      </c>
      <c r="L401" s="6">
        <v>45694</v>
      </c>
      <c r="M401" s="7">
        <f t="shared" si="18"/>
        <v>0.35</v>
      </c>
      <c r="N401" s="7">
        <f t="shared" si="19"/>
        <v>0.18027210884353742</v>
      </c>
      <c r="O401" s="7">
        <f t="shared" si="20"/>
        <v>7.2757475083056482</v>
      </c>
    </row>
    <row r="402" spans="1:15" x14ac:dyDescent="0.35">
      <c r="A402">
        <v>401</v>
      </c>
      <c r="B402">
        <v>30</v>
      </c>
      <c r="C402" t="s">
        <v>12</v>
      </c>
      <c r="D402" t="s">
        <v>27</v>
      </c>
      <c r="E402" t="s">
        <v>24</v>
      </c>
      <c r="F402" t="s">
        <v>18</v>
      </c>
      <c r="G402">
        <v>1355</v>
      </c>
      <c r="H402">
        <v>326</v>
      </c>
      <c r="I402">
        <v>55</v>
      </c>
      <c r="J402" s="5">
        <v>6490</v>
      </c>
      <c r="K402" s="4">
        <v>1794</v>
      </c>
      <c r="L402" s="6">
        <v>45668</v>
      </c>
      <c r="M402" s="7">
        <f t="shared" si="18"/>
        <v>0.24059040590405903</v>
      </c>
      <c r="N402" s="7">
        <f t="shared" si="19"/>
        <v>0.16871165644171779</v>
      </c>
      <c r="O402" s="7">
        <f t="shared" si="20"/>
        <v>2.617614269788183</v>
      </c>
    </row>
    <row r="403" spans="1:15" x14ac:dyDescent="0.35">
      <c r="A403">
        <v>402</v>
      </c>
      <c r="B403">
        <v>36</v>
      </c>
      <c r="C403" t="s">
        <v>19</v>
      </c>
      <c r="D403" t="s">
        <v>23</v>
      </c>
      <c r="E403" t="s">
        <v>17</v>
      </c>
      <c r="F403" t="s">
        <v>29</v>
      </c>
      <c r="G403">
        <v>1856</v>
      </c>
      <c r="H403">
        <v>176</v>
      </c>
      <c r="I403">
        <v>50</v>
      </c>
      <c r="J403" s="5">
        <v>4000</v>
      </c>
      <c r="K403" s="4">
        <v>1780</v>
      </c>
      <c r="L403" s="6">
        <v>45729</v>
      </c>
      <c r="M403" s="7">
        <f t="shared" si="18"/>
        <v>9.4827586206896547E-2</v>
      </c>
      <c r="N403" s="7">
        <f t="shared" si="19"/>
        <v>0.28409090909090912</v>
      </c>
      <c r="O403" s="7">
        <f t="shared" si="20"/>
        <v>1.247191011235955</v>
      </c>
    </row>
    <row r="404" spans="1:15" x14ac:dyDescent="0.35">
      <c r="A404">
        <v>403</v>
      </c>
      <c r="B404">
        <v>50</v>
      </c>
      <c r="C404" t="s">
        <v>12</v>
      </c>
      <c r="D404" t="s">
        <v>20</v>
      </c>
      <c r="E404" t="s">
        <v>21</v>
      </c>
      <c r="F404" t="s">
        <v>15</v>
      </c>
      <c r="G404">
        <v>3504</v>
      </c>
      <c r="H404">
        <v>158</v>
      </c>
      <c r="I404">
        <v>16</v>
      </c>
      <c r="J404" s="5">
        <v>3056</v>
      </c>
      <c r="K404" s="4">
        <v>644</v>
      </c>
      <c r="L404" s="6">
        <v>45760</v>
      </c>
      <c r="M404" s="7">
        <f t="shared" si="18"/>
        <v>4.509132420091324E-2</v>
      </c>
      <c r="N404" s="7">
        <f t="shared" si="19"/>
        <v>0.10126582278481013</v>
      </c>
      <c r="O404" s="7">
        <f t="shared" si="20"/>
        <v>3.7453416149068324</v>
      </c>
    </row>
    <row r="405" spans="1:15" x14ac:dyDescent="0.35">
      <c r="A405">
        <v>404</v>
      </c>
      <c r="B405">
        <v>44</v>
      </c>
      <c r="C405" t="s">
        <v>19</v>
      </c>
      <c r="D405" t="s">
        <v>26</v>
      </c>
      <c r="E405" t="s">
        <v>14</v>
      </c>
      <c r="F405" t="s">
        <v>29</v>
      </c>
      <c r="G405">
        <v>1487</v>
      </c>
      <c r="H405">
        <v>299</v>
      </c>
      <c r="I405">
        <v>73</v>
      </c>
      <c r="J405" s="5">
        <v>7592</v>
      </c>
      <c r="K405" s="4">
        <v>719</v>
      </c>
      <c r="L405" s="6">
        <v>45687</v>
      </c>
      <c r="M405" s="7">
        <f t="shared" si="18"/>
        <v>0.20107599193006054</v>
      </c>
      <c r="N405" s="7">
        <f t="shared" si="19"/>
        <v>0.24414715719063546</v>
      </c>
      <c r="O405" s="7">
        <f t="shared" si="20"/>
        <v>9.5591098748261469</v>
      </c>
    </row>
    <row r="406" spans="1:15" x14ac:dyDescent="0.35">
      <c r="A406">
        <v>405</v>
      </c>
      <c r="B406">
        <v>35</v>
      </c>
      <c r="C406" t="s">
        <v>19</v>
      </c>
      <c r="D406" t="s">
        <v>16</v>
      </c>
      <c r="E406" t="s">
        <v>33</v>
      </c>
      <c r="F406" t="s">
        <v>22</v>
      </c>
      <c r="G406">
        <v>3552</v>
      </c>
      <c r="H406">
        <v>480</v>
      </c>
      <c r="I406">
        <v>53</v>
      </c>
      <c r="J406" s="5">
        <v>8639</v>
      </c>
      <c r="K406" s="4">
        <v>1910</v>
      </c>
      <c r="L406" s="6">
        <v>45723</v>
      </c>
      <c r="M406" s="7">
        <f t="shared" si="18"/>
        <v>0.13513513513513514</v>
      </c>
      <c r="N406" s="7">
        <f t="shared" si="19"/>
        <v>0.11041666666666666</v>
      </c>
      <c r="O406" s="7">
        <f t="shared" si="20"/>
        <v>3.5230366492146596</v>
      </c>
    </row>
    <row r="407" spans="1:15" x14ac:dyDescent="0.35">
      <c r="A407">
        <v>406</v>
      </c>
      <c r="B407">
        <v>36</v>
      </c>
      <c r="C407" t="s">
        <v>12</v>
      </c>
      <c r="D407" t="s">
        <v>23</v>
      </c>
      <c r="E407" t="s">
        <v>17</v>
      </c>
      <c r="F407" t="s">
        <v>18</v>
      </c>
      <c r="G407">
        <v>1489</v>
      </c>
      <c r="H407">
        <v>210</v>
      </c>
      <c r="I407">
        <v>40</v>
      </c>
      <c r="J407" s="5">
        <v>7200</v>
      </c>
      <c r="K407" s="4">
        <v>793</v>
      </c>
      <c r="L407" s="6">
        <v>45741</v>
      </c>
      <c r="M407" s="7">
        <f t="shared" si="18"/>
        <v>0.14103425117528542</v>
      </c>
      <c r="N407" s="7">
        <f t="shared" si="19"/>
        <v>0.19047619047619047</v>
      </c>
      <c r="O407" s="7">
        <f t="shared" si="20"/>
        <v>8.0794451450189158</v>
      </c>
    </row>
    <row r="408" spans="1:15" x14ac:dyDescent="0.35">
      <c r="A408">
        <v>407</v>
      </c>
      <c r="B408">
        <v>19</v>
      </c>
      <c r="C408" t="s">
        <v>12</v>
      </c>
      <c r="D408" t="s">
        <v>26</v>
      </c>
      <c r="E408" t="s">
        <v>30</v>
      </c>
      <c r="F408" t="s">
        <v>31</v>
      </c>
      <c r="G408">
        <v>4308</v>
      </c>
      <c r="H408">
        <v>381</v>
      </c>
      <c r="I408">
        <v>19</v>
      </c>
      <c r="J408" s="5">
        <v>2242</v>
      </c>
      <c r="K408" s="4">
        <v>240</v>
      </c>
      <c r="L408" s="6">
        <v>45731</v>
      </c>
      <c r="M408" s="7">
        <f t="shared" si="18"/>
        <v>8.844011142061281E-2</v>
      </c>
      <c r="N408" s="7">
        <f t="shared" si="19"/>
        <v>4.9868766404199474E-2</v>
      </c>
      <c r="O408" s="7">
        <f t="shared" si="20"/>
        <v>8.3416666666666668</v>
      </c>
    </row>
    <row r="409" spans="1:15" x14ac:dyDescent="0.35">
      <c r="A409">
        <v>408</v>
      </c>
      <c r="B409">
        <v>35</v>
      </c>
      <c r="C409" t="s">
        <v>12</v>
      </c>
      <c r="D409" t="s">
        <v>20</v>
      </c>
      <c r="E409" t="s">
        <v>24</v>
      </c>
      <c r="F409" t="s">
        <v>15</v>
      </c>
      <c r="G409">
        <v>2997</v>
      </c>
      <c r="H409">
        <v>356</v>
      </c>
      <c r="I409">
        <v>79</v>
      </c>
      <c r="J409" s="5">
        <v>7347</v>
      </c>
      <c r="K409" s="4">
        <v>1489</v>
      </c>
      <c r="L409" s="6">
        <v>45775</v>
      </c>
      <c r="M409" s="7">
        <f t="shared" si="18"/>
        <v>0.11878545211878545</v>
      </c>
      <c r="N409" s="7">
        <f t="shared" si="19"/>
        <v>0.22191011235955055</v>
      </c>
      <c r="O409" s="7">
        <f t="shared" si="20"/>
        <v>3.9341840161182002</v>
      </c>
    </row>
    <row r="410" spans="1:15" x14ac:dyDescent="0.35">
      <c r="A410">
        <v>409</v>
      </c>
      <c r="B410">
        <v>19</v>
      </c>
      <c r="C410" t="s">
        <v>12</v>
      </c>
      <c r="D410" t="s">
        <v>26</v>
      </c>
      <c r="E410" t="s">
        <v>28</v>
      </c>
      <c r="F410" t="s">
        <v>29</v>
      </c>
      <c r="G410">
        <v>1270</v>
      </c>
      <c r="H410">
        <v>133</v>
      </c>
      <c r="I410">
        <v>74</v>
      </c>
      <c r="J410" s="5">
        <v>14504</v>
      </c>
      <c r="K410" s="4">
        <v>866</v>
      </c>
      <c r="L410" s="6">
        <v>45660</v>
      </c>
      <c r="M410" s="7">
        <f t="shared" si="18"/>
        <v>0.1047244094488189</v>
      </c>
      <c r="N410" s="7">
        <f t="shared" si="19"/>
        <v>0.55639097744360899</v>
      </c>
      <c r="O410" s="7">
        <f t="shared" si="20"/>
        <v>15.748267898383371</v>
      </c>
    </row>
    <row r="411" spans="1:15" x14ac:dyDescent="0.35">
      <c r="A411">
        <v>410</v>
      </c>
      <c r="B411">
        <v>29</v>
      </c>
      <c r="C411" t="s">
        <v>19</v>
      </c>
      <c r="D411" t="s">
        <v>27</v>
      </c>
      <c r="E411" t="s">
        <v>24</v>
      </c>
      <c r="F411" t="s">
        <v>22</v>
      </c>
      <c r="G411">
        <v>3921</v>
      </c>
      <c r="H411">
        <v>345</v>
      </c>
      <c r="I411">
        <v>6</v>
      </c>
      <c r="J411" s="5">
        <v>720</v>
      </c>
      <c r="K411" s="4">
        <v>1304</v>
      </c>
      <c r="L411" s="6">
        <v>45764</v>
      </c>
      <c r="M411" s="7">
        <f t="shared" si="18"/>
        <v>8.7987758224942619E-2</v>
      </c>
      <c r="N411" s="7">
        <f t="shared" si="19"/>
        <v>1.7391304347826087E-2</v>
      </c>
      <c r="O411" s="7">
        <f t="shared" si="20"/>
        <v>-0.44785276073619634</v>
      </c>
    </row>
    <row r="412" spans="1:15" x14ac:dyDescent="0.35">
      <c r="A412">
        <v>411</v>
      </c>
      <c r="B412">
        <v>38</v>
      </c>
      <c r="C412" t="s">
        <v>12</v>
      </c>
      <c r="D412" t="s">
        <v>13</v>
      </c>
      <c r="E412" t="s">
        <v>34</v>
      </c>
      <c r="F412" t="s">
        <v>31</v>
      </c>
      <c r="G412">
        <v>2356</v>
      </c>
      <c r="H412">
        <v>360</v>
      </c>
      <c r="I412">
        <v>49</v>
      </c>
      <c r="J412" s="5">
        <v>8820</v>
      </c>
      <c r="K412" s="4">
        <v>1185</v>
      </c>
      <c r="L412" s="6">
        <v>45752</v>
      </c>
      <c r="M412" s="7">
        <f t="shared" si="18"/>
        <v>0.15280135823429541</v>
      </c>
      <c r="N412" s="7">
        <f t="shared" si="19"/>
        <v>0.1361111111111111</v>
      </c>
      <c r="O412" s="7">
        <f t="shared" si="20"/>
        <v>6.443037974683544</v>
      </c>
    </row>
    <row r="413" spans="1:15" x14ac:dyDescent="0.35">
      <c r="A413">
        <v>412</v>
      </c>
      <c r="B413">
        <v>35</v>
      </c>
      <c r="C413" t="s">
        <v>19</v>
      </c>
      <c r="D413" t="s">
        <v>20</v>
      </c>
      <c r="E413" t="s">
        <v>32</v>
      </c>
      <c r="F413" t="s">
        <v>18</v>
      </c>
      <c r="G413">
        <v>1931</v>
      </c>
      <c r="H413">
        <v>343</v>
      </c>
      <c r="I413">
        <v>32</v>
      </c>
      <c r="J413" s="5">
        <v>4256</v>
      </c>
      <c r="K413" s="4">
        <v>476</v>
      </c>
      <c r="L413" s="6">
        <v>45756</v>
      </c>
      <c r="M413" s="7">
        <f t="shared" si="18"/>
        <v>0.17762817193164163</v>
      </c>
      <c r="N413" s="7">
        <f t="shared" si="19"/>
        <v>9.3294460641399415E-2</v>
      </c>
      <c r="O413" s="7">
        <f t="shared" si="20"/>
        <v>7.9411764705882355</v>
      </c>
    </row>
    <row r="414" spans="1:15" x14ac:dyDescent="0.35">
      <c r="A414">
        <v>413</v>
      </c>
      <c r="B414">
        <v>51</v>
      </c>
      <c r="C414" t="s">
        <v>12</v>
      </c>
      <c r="D414" t="s">
        <v>20</v>
      </c>
      <c r="E414" t="s">
        <v>24</v>
      </c>
      <c r="F414" t="s">
        <v>15</v>
      </c>
      <c r="G414">
        <v>4000</v>
      </c>
      <c r="H414">
        <v>424</v>
      </c>
      <c r="I414">
        <v>77</v>
      </c>
      <c r="J414" s="5">
        <v>8393</v>
      </c>
      <c r="K414" s="4">
        <v>1857</v>
      </c>
      <c r="L414" s="6">
        <v>45724</v>
      </c>
      <c r="M414" s="7">
        <f t="shared" si="18"/>
        <v>0.106</v>
      </c>
      <c r="N414" s="7">
        <f t="shared" si="19"/>
        <v>0.18160377358490565</v>
      </c>
      <c r="O414" s="7">
        <f t="shared" si="20"/>
        <v>3.5196553581044694</v>
      </c>
    </row>
    <row r="415" spans="1:15" x14ac:dyDescent="0.35">
      <c r="A415">
        <v>414</v>
      </c>
      <c r="B415">
        <v>28</v>
      </c>
      <c r="C415" t="s">
        <v>12</v>
      </c>
      <c r="D415" t="s">
        <v>20</v>
      </c>
      <c r="E415" t="s">
        <v>21</v>
      </c>
      <c r="F415" t="s">
        <v>22</v>
      </c>
      <c r="G415">
        <v>3743</v>
      </c>
      <c r="H415">
        <v>384</v>
      </c>
      <c r="I415">
        <v>45</v>
      </c>
      <c r="J415" s="5">
        <v>4590</v>
      </c>
      <c r="K415" s="4">
        <v>1286</v>
      </c>
      <c r="L415" s="6">
        <v>45714</v>
      </c>
      <c r="M415" s="7">
        <f t="shared" si="18"/>
        <v>0.10259150414106331</v>
      </c>
      <c r="N415" s="7">
        <f t="shared" si="19"/>
        <v>0.1171875</v>
      </c>
      <c r="O415" s="7">
        <f t="shared" si="20"/>
        <v>2.5692068429237946</v>
      </c>
    </row>
    <row r="416" spans="1:15" x14ac:dyDescent="0.35">
      <c r="A416">
        <v>415</v>
      </c>
      <c r="B416">
        <v>45</v>
      </c>
      <c r="C416" t="s">
        <v>19</v>
      </c>
      <c r="D416" t="s">
        <v>16</v>
      </c>
      <c r="E416" t="s">
        <v>25</v>
      </c>
      <c r="F416" t="s">
        <v>29</v>
      </c>
      <c r="G416">
        <v>1641</v>
      </c>
      <c r="H416">
        <v>149</v>
      </c>
      <c r="I416">
        <v>37</v>
      </c>
      <c r="J416" s="5">
        <v>4181</v>
      </c>
      <c r="K416" s="4">
        <v>878</v>
      </c>
      <c r="L416" s="6">
        <v>45664</v>
      </c>
      <c r="M416" s="7">
        <f t="shared" si="18"/>
        <v>9.0798293723339432E-2</v>
      </c>
      <c r="N416" s="7">
        <f t="shared" si="19"/>
        <v>0.24832214765100671</v>
      </c>
      <c r="O416" s="7">
        <f t="shared" si="20"/>
        <v>3.7619589977220955</v>
      </c>
    </row>
    <row r="417" spans="1:15" x14ac:dyDescent="0.35">
      <c r="A417">
        <v>416</v>
      </c>
      <c r="B417">
        <v>37</v>
      </c>
      <c r="C417" t="s">
        <v>12</v>
      </c>
      <c r="D417" t="s">
        <v>20</v>
      </c>
      <c r="E417" t="s">
        <v>24</v>
      </c>
      <c r="F417" t="s">
        <v>31</v>
      </c>
      <c r="G417">
        <v>3767</v>
      </c>
      <c r="H417">
        <v>470</v>
      </c>
      <c r="I417">
        <v>60</v>
      </c>
      <c r="J417" s="5">
        <v>8640</v>
      </c>
      <c r="K417" s="4">
        <v>1032</v>
      </c>
      <c r="L417" s="6">
        <v>45686</v>
      </c>
      <c r="M417" s="7">
        <f t="shared" si="18"/>
        <v>0.12476771967082559</v>
      </c>
      <c r="N417" s="7">
        <f t="shared" si="19"/>
        <v>0.1276595744680851</v>
      </c>
      <c r="O417" s="7">
        <f t="shared" si="20"/>
        <v>7.3720930232558137</v>
      </c>
    </row>
    <row r="418" spans="1:15" x14ac:dyDescent="0.35">
      <c r="A418">
        <v>417</v>
      </c>
      <c r="B418">
        <v>48</v>
      </c>
      <c r="C418" t="s">
        <v>19</v>
      </c>
      <c r="D418" t="s">
        <v>23</v>
      </c>
      <c r="E418" t="s">
        <v>34</v>
      </c>
      <c r="F418" t="s">
        <v>22</v>
      </c>
      <c r="G418">
        <v>3773</v>
      </c>
      <c r="H418">
        <v>493</v>
      </c>
      <c r="I418">
        <v>22</v>
      </c>
      <c r="J418" s="5">
        <v>2684</v>
      </c>
      <c r="K418" s="4">
        <v>1642</v>
      </c>
      <c r="L418" s="6">
        <v>45770</v>
      </c>
      <c r="M418" s="7">
        <f t="shared" si="18"/>
        <v>0.13066525311423272</v>
      </c>
      <c r="N418" s="7">
        <f t="shared" si="19"/>
        <v>4.4624746450304259E-2</v>
      </c>
      <c r="O418" s="7">
        <f t="shared" si="20"/>
        <v>0.63459196102314253</v>
      </c>
    </row>
    <row r="419" spans="1:15" x14ac:dyDescent="0.35">
      <c r="A419">
        <v>418</v>
      </c>
      <c r="B419">
        <v>29</v>
      </c>
      <c r="C419" t="s">
        <v>12</v>
      </c>
      <c r="D419" t="s">
        <v>13</v>
      </c>
      <c r="E419" t="s">
        <v>28</v>
      </c>
      <c r="F419" t="s">
        <v>29</v>
      </c>
      <c r="G419">
        <v>2329</v>
      </c>
      <c r="H419">
        <v>113</v>
      </c>
      <c r="I419">
        <v>73</v>
      </c>
      <c r="J419" s="5">
        <v>8249</v>
      </c>
      <c r="K419" s="4">
        <v>1615</v>
      </c>
      <c r="L419" s="6">
        <v>45722</v>
      </c>
      <c r="M419" s="7">
        <f t="shared" si="18"/>
        <v>4.8518677544010305E-2</v>
      </c>
      <c r="N419" s="7">
        <f t="shared" si="19"/>
        <v>0.64601769911504425</v>
      </c>
      <c r="O419" s="7">
        <f t="shared" si="20"/>
        <v>4.1077399380804955</v>
      </c>
    </row>
    <row r="420" spans="1:15" x14ac:dyDescent="0.35">
      <c r="A420">
        <v>419</v>
      </c>
      <c r="B420">
        <v>41</v>
      </c>
      <c r="C420" t="s">
        <v>12</v>
      </c>
      <c r="D420" t="s">
        <v>23</v>
      </c>
      <c r="E420" t="s">
        <v>24</v>
      </c>
      <c r="F420" t="s">
        <v>18</v>
      </c>
      <c r="G420">
        <v>1554</v>
      </c>
      <c r="H420">
        <v>437</v>
      </c>
      <c r="I420">
        <v>54</v>
      </c>
      <c r="J420" s="5">
        <v>5886</v>
      </c>
      <c r="K420" s="4">
        <v>1036</v>
      </c>
      <c r="L420" s="6">
        <v>45732</v>
      </c>
      <c r="M420" s="7">
        <f t="shared" si="18"/>
        <v>0.28120978120978118</v>
      </c>
      <c r="N420" s="7">
        <f t="shared" si="19"/>
        <v>0.12356979405034325</v>
      </c>
      <c r="O420" s="7">
        <f t="shared" si="20"/>
        <v>4.6814671814671813</v>
      </c>
    </row>
    <row r="421" spans="1:15" x14ac:dyDescent="0.35">
      <c r="A421">
        <v>420</v>
      </c>
      <c r="B421">
        <v>23</v>
      </c>
      <c r="C421" t="s">
        <v>12</v>
      </c>
      <c r="D421" t="s">
        <v>13</v>
      </c>
      <c r="E421" t="s">
        <v>25</v>
      </c>
      <c r="F421" t="s">
        <v>18</v>
      </c>
      <c r="G421">
        <v>1678</v>
      </c>
      <c r="H421">
        <v>479</v>
      </c>
      <c r="I421">
        <v>68</v>
      </c>
      <c r="J421" s="5">
        <v>8840</v>
      </c>
      <c r="K421" s="4">
        <v>1457</v>
      </c>
      <c r="L421" s="6">
        <v>45687</v>
      </c>
      <c r="M421" s="7">
        <f t="shared" si="18"/>
        <v>0.28545887961859356</v>
      </c>
      <c r="N421" s="7">
        <f t="shared" si="19"/>
        <v>0.14196242171189979</v>
      </c>
      <c r="O421" s="7">
        <f t="shared" si="20"/>
        <v>5.0672614962251199</v>
      </c>
    </row>
    <row r="422" spans="1:15" x14ac:dyDescent="0.35">
      <c r="A422">
        <v>421</v>
      </c>
      <c r="B422">
        <v>52</v>
      </c>
      <c r="C422" t="s">
        <v>19</v>
      </c>
      <c r="D422" t="s">
        <v>26</v>
      </c>
      <c r="E422" t="s">
        <v>14</v>
      </c>
      <c r="F422" t="s">
        <v>15</v>
      </c>
      <c r="G422">
        <v>4509</v>
      </c>
      <c r="H422">
        <v>171</v>
      </c>
      <c r="I422">
        <v>41</v>
      </c>
      <c r="J422" s="5">
        <v>7380</v>
      </c>
      <c r="K422" s="4">
        <v>369</v>
      </c>
      <c r="L422" s="6">
        <v>45663</v>
      </c>
      <c r="M422" s="7">
        <f t="shared" si="18"/>
        <v>3.7924151696606789E-2</v>
      </c>
      <c r="N422" s="7">
        <f t="shared" si="19"/>
        <v>0.23976608187134502</v>
      </c>
      <c r="O422" s="7">
        <f t="shared" si="20"/>
        <v>19</v>
      </c>
    </row>
    <row r="423" spans="1:15" x14ac:dyDescent="0.35">
      <c r="A423">
        <v>422</v>
      </c>
      <c r="B423">
        <v>34</v>
      </c>
      <c r="C423" t="s">
        <v>12</v>
      </c>
      <c r="D423" t="s">
        <v>13</v>
      </c>
      <c r="E423" t="s">
        <v>28</v>
      </c>
      <c r="F423" t="s">
        <v>31</v>
      </c>
      <c r="G423">
        <v>1285</v>
      </c>
      <c r="H423">
        <v>250</v>
      </c>
      <c r="I423">
        <v>33</v>
      </c>
      <c r="J423" s="5">
        <v>4554</v>
      </c>
      <c r="K423" s="4">
        <v>276</v>
      </c>
      <c r="L423" s="6">
        <v>45725</v>
      </c>
      <c r="M423" s="7">
        <f t="shared" si="18"/>
        <v>0.19455252918287938</v>
      </c>
      <c r="N423" s="7">
        <f t="shared" si="19"/>
        <v>0.13200000000000001</v>
      </c>
      <c r="O423" s="7">
        <f t="shared" si="20"/>
        <v>15.5</v>
      </c>
    </row>
    <row r="424" spans="1:15" x14ac:dyDescent="0.35">
      <c r="A424">
        <v>423</v>
      </c>
      <c r="B424">
        <v>39</v>
      </c>
      <c r="C424" t="s">
        <v>19</v>
      </c>
      <c r="D424" t="s">
        <v>23</v>
      </c>
      <c r="E424" t="s">
        <v>25</v>
      </c>
      <c r="F424" t="s">
        <v>29</v>
      </c>
      <c r="G424">
        <v>3640</v>
      </c>
      <c r="H424">
        <v>214</v>
      </c>
      <c r="I424">
        <v>53</v>
      </c>
      <c r="J424" s="5">
        <v>9964</v>
      </c>
      <c r="K424" s="4">
        <v>873</v>
      </c>
      <c r="L424" s="6">
        <v>45744</v>
      </c>
      <c r="M424" s="7">
        <f t="shared" si="18"/>
        <v>5.8791208791208791E-2</v>
      </c>
      <c r="N424" s="7">
        <f t="shared" si="19"/>
        <v>0.24766355140186916</v>
      </c>
      <c r="O424" s="7">
        <f t="shared" si="20"/>
        <v>10.413516609392898</v>
      </c>
    </row>
    <row r="425" spans="1:15" x14ac:dyDescent="0.35">
      <c r="A425">
        <v>424</v>
      </c>
      <c r="B425">
        <v>38</v>
      </c>
      <c r="C425" t="s">
        <v>12</v>
      </c>
      <c r="D425" t="s">
        <v>27</v>
      </c>
      <c r="E425" t="s">
        <v>25</v>
      </c>
      <c r="F425" t="s">
        <v>31</v>
      </c>
      <c r="G425">
        <v>1446</v>
      </c>
      <c r="H425">
        <v>436</v>
      </c>
      <c r="I425">
        <v>46</v>
      </c>
      <c r="J425" s="5">
        <v>5106</v>
      </c>
      <c r="K425" s="4">
        <v>1577</v>
      </c>
      <c r="L425" s="6">
        <v>45701</v>
      </c>
      <c r="M425" s="7">
        <f t="shared" si="18"/>
        <v>0.30152143845089902</v>
      </c>
      <c r="N425" s="7">
        <f t="shared" si="19"/>
        <v>0.10550458715596331</v>
      </c>
      <c r="O425" s="7">
        <f t="shared" si="20"/>
        <v>2.2377932783766648</v>
      </c>
    </row>
    <row r="426" spans="1:15" x14ac:dyDescent="0.35">
      <c r="A426">
        <v>425</v>
      </c>
      <c r="B426">
        <v>45</v>
      </c>
      <c r="C426" t="s">
        <v>12</v>
      </c>
      <c r="D426" t="s">
        <v>27</v>
      </c>
      <c r="E426" t="s">
        <v>17</v>
      </c>
      <c r="F426" t="s">
        <v>18</v>
      </c>
      <c r="G426">
        <v>638</v>
      </c>
      <c r="H426">
        <v>408</v>
      </c>
      <c r="I426">
        <v>72</v>
      </c>
      <c r="J426" s="5">
        <v>5760</v>
      </c>
      <c r="K426" s="4">
        <v>1722</v>
      </c>
      <c r="L426" s="6">
        <v>45756</v>
      </c>
      <c r="M426" s="7">
        <f t="shared" si="18"/>
        <v>0.63949843260188088</v>
      </c>
      <c r="N426" s="7">
        <f t="shared" si="19"/>
        <v>0.17647058823529413</v>
      </c>
      <c r="O426" s="7">
        <f t="shared" si="20"/>
        <v>2.3449477351916377</v>
      </c>
    </row>
    <row r="427" spans="1:15" x14ac:dyDescent="0.35">
      <c r="A427">
        <v>426</v>
      </c>
      <c r="B427">
        <v>34</v>
      </c>
      <c r="C427" t="s">
        <v>19</v>
      </c>
      <c r="D427" t="s">
        <v>27</v>
      </c>
      <c r="E427" t="s">
        <v>24</v>
      </c>
      <c r="F427" t="s">
        <v>18</v>
      </c>
      <c r="G427">
        <v>1634</v>
      </c>
      <c r="H427">
        <v>403</v>
      </c>
      <c r="I427">
        <v>15</v>
      </c>
      <c r="J427" s="5">
        <v>1950</v>
      </c>
      <c r="K427" s="4">
        <v>1195</v>
      </c>
      <c r="L427" s="6">
        <v>45739</v>
      </c>
      <c r="M427" s="7">
        <f t="shared" si="18"/>
        <v>0.24663402692778458</v>
      </c>
      <c r="N427" s="7">
        <f t="shared" si="19"/>
        <v>3.7220843672456573E-2</v>
      </c>
      <c r="O427" s="7">
        <f t="shared" si="20"/>
        <v>0.63179916317991636</v>
      </c>
    </row>
    <row r="428" spans="1:15" x14ac:dyDescent="0.35">
      <c r="A428">
        <v>427</v>
      </c>
      <c r="B428">
        <v>54</v>
      </c>
      <c r="C428" t="s">
        <v>19</v>
      </c>
      <c r="D428" t="s">
        <v>23</v>
      </c>
      <c r="E428" t="s">
        <v>14</v>
      </c>
      <c r="F428" t="s">
        <v>29</v>
      </c>
      <c r="G428">
        <v>2651</v>
      </c>
      <c r="H428">
        <v>263</v>
      </c>
      <c r="I428">
        <v>28</v>
      </c>
      <c r="J428" s="5">
        <v>2744</v>
      </c>
      <c r="K428" s="4">
        <v>961</v>
      </c>
      <c r="L428" s="6">
        <v>45742</v>
      </c>
      <c r="M428" s="7">
        <f t="shared" si="18"/>
        <v>9.9207846095812902E-2</v>
      </c>
      <c r="N428" s="7">
        <f t="shared" si="19"/>
        <v>0.10646387832699619</v>
      </c>
      <c r="O428" s="7">
        <f t="shared" si="20"/>
        <v>1.8553590010405827</v>
      </c>
    </row>
    <row r="429" spans="1:15" x14ac:dyDescent="0.35">
      <c r="A429">
        <v>428</v>
      </c>
      <c r="B429">
        <v>53</v>
      </c>
      <c r="C429" t="s">
        <v>19</v>
      </c>
      <c r="D429" t="s">
        <v>26</v>
      </c>
      <c r="E429" t="s">
        <v>28</v>
      </c>
      <c r="F429" t="s">
        <v>31</v>
      </c>
      <c r="G429">
        <v>3067</v>
      </c>
      <c r="H429">
        <v>333</v>
      </c>
      <c r="I429">
        <v>9</v>
      </c>
      <c r="J429" s="5">
        <v>1620</v>
      </c>
      <c r="K429" s="4">
        <v>856</v>
      </c>
      <c r="L429" s="6">
        <v>45676</v>
      </c>
      <c r="M429" s="7">
        <f t="shared" si="18"/>
        <v>0.10857515487447017</v>
      </c>
      <c r="N429" s="7">
        <f t="shared" si="19"/>
        <v>2.7027027027027029E-2</v>
      </c>
      <c r="O429" s="7">
        <f t="shared" si="20"/>
        <v>0.89252336448598135</v>
      </c>
    </row>
    <row r="430" spans="1:15" x14ac:dyDescent="0.35">
      <c r="A430">
        <v>429</v>
      </c>
      <c r="B430">
        <v>29</v>
      </c>
      <c r="C430" t="s">
        <v>19</v>
      </c>
      <c r="D430" t="s">
        <v>20</v>
      </c>
      <c r="E430" t="s">
        <v>28</v>
      </c>
      <c r="F430" t="s">
        <v>31</v>
      </c>
      <c r="G430">
        <v>2546</v>
      </c>
      <c r="H430">
        <v>113</v>
      </c>
      <c r="I430">
        <v>15</v>
      </c>
      <c r="J430" s="5">
        <v>1890</v>
      </c>
      <c r="K430" s="4">
        <v>1908</v>
      </c>
      <c r="L430" s="6">
        <v>45678</v>
      </c>
      <c r="M430" s="7">
        <f t="shared" si="18"/>
        <v>4.4383346425765906E-2</v>
      </c>
      <c r="N430" s="7">
        <f t="shared" si="19"/>
        <v>0.13274336283185842</v>
      </c>
      <c r="O430" s="7">
        <f t="shared" si="20"/>
        <v>-9.433962264150943E-3</v>
      </c>
    </row>
    <row r="431" spans="1:15" x14ac:dyDescent="0.35">
      <c r="A431">
        <v>430</v>
      </c>
      <c r="B431">
        <v>37</v>
      </c>
      <c r="C431" t="s">
        <v>19</v>
      </c>
      <c r="D431" t="s">
        <v>13</v>
      </c>
      <c r="E431" t="s">
        <v>30</v>
      </c>
      <c r="F431" t="s">
        <v>22</v>
      </c>
      <c r="G431">
        <v>4329</v>
      </c>
      <c r="H431">
        <v>444</v>
      </c>
      <c r="I431">
        <v>9</v>
      </c>
      <c r="J431" s="5">
        <v>1215</v>
      </c>
      <c r="K431" s="4">
        <v>1176</v>
      </c>
      <c r="L431" s="6">
        <v>45703</v>
      </c>
      <c r="M431" s="7">
        <f t="shared" si="18"/>
        <v>0.10256410256410256</v>
      </c>
      <c r="N431" s="7">
        <f t="shared" si="19"/>
        <v>2.0270270270270271E-2</v>
      </c>
      <c r="O431" s="7">
        <f t="shared" si="20"/>
        <v>3.3163265306122451E-2</v>
      </c>
    </row>
    <row r="432" spans="1:15" x14ac:dyDescent="0.35">
      <c r="A432">
        <v>431</v>
      </c>
      <c r="B432">
        <v>49</v>
      </c>
      <c r="C432" t="s">
        <v>12</v>
      </c>
      <c r="D432" t="s">
        <v>27</v>
      </c>
      <c r="E432" t="s">
        <v>28</v>
      </c>
      <c r="F432" t="s">
        <v>15</v>
      </c>
      <c r="G432">
        <v>1382</v>
      </c>
      <c r="H432">
        <v>196</v>
      </c>
      <c r="I432">
        <v>30</v>
      </c>
      <c r="J432" s="5">
        <v>5610</v>
      </c>
      <c r="K432" s="4">
        <v>1527</v>
      </c>
      <c r="L432" s="6">
        <v>45712</v>
      </c>
      <c r="M432" s="7">
        <f t="shared" si="18"/>
        <v>0.14182344428364688</v>
      </c>
      <c r="N432" s="7">
        <f t="shared" si="19"/>
        <v>0.15306122448979592</v>
      </c>
      <c r="O432" s="7">
        <f t="shared" si="20"/>
        <v>2.6738703339882122</v>
      </c>
    </row>
    <row r="433" spans="1:15" x14ac:dyDescent="0.35">
      <c r="A433">
        <v>432</v>
      </c>
      <c r="B433">
        <v>32</v>
      </c>
      <c r="C433" t="s">
        <v>12</v>
      </c>
      <c r="D433" t="s">
        <v>20</v>
      </c>
      <c r="E433" t="s">
        <v>30</v>
      </c>
      <c r="F433" t="s">
        <v>22</v>
      </c>
      <c r="G433">
        <v>2110</v>
      </c>
      <c r="H433">
        <v>466</v>
      </c>
      <c r="I433">
        <v>66</v>
      </c>
      <c r="J433" s="5">
        <v>6732</v>
      </c>
      <c r="K433" s="4">
        <v>1439</v>
      </c>
      <c r="L433" s="6">
        <v>45772</v>
      </c>
      <c r="M433" s="7">
        <f t="shared" si="18"/>
        <v>0.22085308056872038</v>
      </c>
      <c r="N433" s="7">
        <f t="shared" si="19"/>
        <v>0.14163090128755365</v>
      </c>
      <c r="O433" s="7">
        <f t="shared" si="20"/>
        <v>3.6782487838776929</v>
      </c>
    </row>
    <row r="434" spans="1:15" x14ac:dyDescent="0.35">
      <c r="A434">
        <v>433</v>
      </c>
      <c r="B434">
        <v>35</v>
      </c>
      <c r="C434" t="s">
        <v>19</v>
      </c>
      <c r="D434" t="s">
        <v>20</v>
      </c>
      <c r="E434" t="s">
        <v>24</v>
      </c>
      <c r="F434" t="s">
        <v>15</v>
      </c>
      <c r="G434">
        <v>4325</v>
      </c>
      <c r="H434">
        <v>228</v>
      </c>
      <c r="I434">
        <v>57</v>
      </c>
      <c r="J434" s="5">
        <v>9690</v>
      </c>
      <c r="K434" s="4">
        <v>1173</v>
      </c>
      <c r="L434" s="6">
        <v>45704</v>
      </c>
      <c r="M434" s="7">
        <f t="shared" si="18"/>
        <v>5.2716763005780348E-2</v>
      </c>
      <c r="N434" s="7">
        <f t="shared" si="19"/>
        <v>0.25</v>
      </c>
      <c r="O434" s="7">
        <f t="shared" si="20"/>
        <v>7.2608695652173916</v>
      </c>
    </row>
    <row r="435" spans="1:15" x14ac:dyDescent="0.35">
      <c r="A435">
        <v>434</v>
      </c>
      <c r="B435">
        <v>26</v>
      </c>
      <c r="C435" t="s">
        <v>19</v>
      </c>
      <c r="D435" t="s">
        <v>16</v>
      </c>
      <c r="E435" t="s">
        <v>17</v>
      </c>
      <c r="F435" t="s">
        <v>15</v>
      </c>
      <c r="G435">
        <v>4322</v>
      </c>
      <c r="H435">
        <v>309</v>
      </c>
      <c r="I435">
        <v>11</v>
      </c>
      <c r="J435" s="5">
        <v>1254</v>
      </c>
      <c r="K435" s="4">
        <v>564</v>
      </c>
      <c r="L435" s="6">
        <v>45773</v>
      </c>
      <c r="M435" s="7">
        <f t="shared" si="18"/>
        <v>7.1494678389634428E-2</v>
      </c>
      <c r="N435" s="7">
        <f t="shared" si="19"/>
        <v>3.5598705501618123E-2</v>
      </c>
      <c r="O435" s="7">
        <f t="shared" si="20"/>
        <v>1.2234042553191489</v>
      </c>
    </row>
    <row r="436" spans="1:15" x14ac:dyDescent="0.35">
      <c r="A436">
        <v>435</v>
      </c>
      <c r="B436">
        <v>20</v>
      </c>
      <c r="C436" t="s">
        <v>19</v>
      </c>
      <c r="D436" t="s">
        <v>27</v>
      </c>
      <c r="E436" t="s">
        <v>25</v>
      </c>
      <c r="F436" t="s">
        <v>31</v>
      </c>
      <c r="G436">
        <v>2884</v>
      </c>
      <c r="H436">
        <v>418</v>
      </c>
      <c r="I436">
        <v>76</v>
      </c>
      <c r="J436" s="5">
        <v>10792</v>
      </c>
      <c r="K436" s="4">
        <v>346</v>
      </c>
      <c r="L436" s="6">
        <v>45670</v>
      </c>
      <c r="M436" s="7">
        <f t="shared" si="18"/>
        <v>0.14493758668515949</v>
      </c>
      <c r="N436" s="7">
        <f t="shared" si="19"/>
        <v>0.18181818181818182</v>
      </c>
      <c r="O436" s="7">
        <f t="shared" si="20"/>
        <v>30.190751445086704</v>
      </c>
    </row>
    <row r="437" spans="1:15" x14ac:dyDescent="0.35">
      <c r="A437">
        <v>436</v>
      </c>
      <c r="B437">
        <v>49</v>
      </c>
      <c r="C437" t="s">
        <v>12</v>
      </c>
      <c r="D437" t="s">
        <v>13</v>
      </c>
      <c r="E437" t="s">
        <v>28</v>
      </c>
      <c r="F437" t="s">
        <v>18</v>
      </c>
      <c r="G437">
        <v>1442</v>
      </c>
      <c r="H437">
        <v>238</v>
      </c>
      <c r="I437">
        <v>35</v>
      </c>
      <c r="J437" s="5">
        <v>6755</v>
      </c>
      <c r="K437" s="4">
        <v>919</v>
      </c>
      <c r="L437" s="6">
        <v>45750</v>
      </c>
      <c r="M437" s="7">
        <f t="shared" si="18"/>
        <v>0.1650485436893204</v>
      </c>
      <c r="N437" s="7">
        <f t="shared" si="19"/>
        <v>0.14705882352941177</v>
      </c>
      <c r="O437" s="7">
        <f t="shared" si="20"/>
        <v>6.3503808487486397</v>
      </c>
    </row>
    <row r="438" spans="1:15" x14ac:dyDescent="0.35">
      <c r="A438">
        <v>437</v>
      </c>
      <c r="B438">
        <v>33</v>
      </c>
      <c r="C438" t="s">
        <v>12</v>
      </c>
      <c r="D438" t="s">
        <v>26</v>
      </c>
      <c r="E438" t="s">
        <v>33</v>
      </c>
      <c r="F438" t="s">
        <v>22</v>
      </c>
      <c r="G438">
        <v>4406</v>
      </c>
      <c r="H438">
        <v>103</v>
      </c>
      <c r="I438">
        <v>14</v>
      </c>
      <c r="J438" s="5">
        <v>1400</v>
      </c>
      <c r="K438" s="4">
        <v>519</v>
      </c>
      <c r="L438" s="6">
        <v>45698</v>
      </c>
      <c r="M438" s="7">
        <f t="shared" si="18"/>
        <v>2.3377212891511574E-2</v>
      </c>
      <c r="N438" s="7">
        <f t="shared" si="19"/>
        <v>0.13592233009708737</v>
      </c>
      <c r="O438" s="7">
        <f t="shared" si="20"/>
        <v>1.6974951830443159</v>
      </c>
    </row>
    <row r="439" spans="1:15" x14ac:dyDescent="0.35">
      <c r="A439">
        <v>438</v>
      </c>
      <c r="B439">
        <v>47</v>
      </c>
      <c r="C439" t="s">
        <v>12</v>
      </c>
      <c r="D439" t="s">
        <v>16</v>
      </c>
      <c r="E439" t="s">
        <v>24</v>
      </c>
      <c r="F439" t="s">
        <v>29</v>
      </c>
      <c r="G439">
        <v>4235</v>
      </c>
      <c r="H439">
        <v>84</v>
      </c>
      <c r="I439">
        <v>60</v>
      </c>
      <c r="J439" s="5">
        <v>8160</v>
      </c>
      <c r="K439" s="4">
        <v>1509</v>
      </c>
      <c r="L439" s="6">
        <v>45676</v>
      </c>
      <c r="M439" s="7">
        <f t="shared" si="18"/>
        <v>1.9834710743801654E-2</v>
      </c>
      <c r="N439" s="7">
        <f t="shared" si="19"/>
        <v>0.7142857142857143</v>
      </c>
      <c r="O439" s="7">
        <f t="shared" si="20"/>
        <v>4.4075546719681906</v>
      </c>
    </row>
    <row r="440" spans="1:15" x14ac:dyDescent="0.35">
      <c r="A440">
        <v>439</v>
      </c>
      <c r="B440">
        <v>20</v>
      </c>
      <c r="C440" t="s">
        <v>12</v>
      </c>
      <c r="D440" t="s">
        <v>13</v>
      </c>
      <c r="E440" t="s">
        <v>34</v>
      </c>
      <c r="F440" t="s">
        <v>29</v>
      </c>
      <c r="G440">
        <v>2811</v>
      </c>
      <c r="H440">
        <v>331</v>
      </c>
      <c r="I440">
        <v>75</v>
      </c>
      <c r="J440" s="5">
        <v>6450</v>
      </c>
      <c r="K440" s="4">
        <v>741</v>
      </c>
      <c r="L440" s="6">
        <v>45693</v>
      </c>
      <c r="M440" s="7">
        <f t="shared" si="18"/>
        <v>0.11775168979011028</v>
      </c>
      <c r="N440" s="7">
        <f t="shared" si="19"/>
        <v>0.22658610271903323</v>
      </c>
      <c r="O440" s="7">
        <f t="shared" si="20"/>
        <v>7.7044534412955468</v>
      </c>
    </row>
    <row r="441" spans="1:15" x14ac:dyDescent="0.35">
      <c r="A441">
        <v>440</v>
      </c>
      <c r="B441">
        <v>30</v>
      </c>
      <c r="C441" t="s">
        <v>19</v>
      </c>
      <c r="D441" t="s">
        <v>16</v>
      </c>
      <c r="E441" t="s">
        <v>17</v>
      </c>
      <c r="F441" t="s">
        <v>15</v>
      </c>
      <c r="G441">
        <v>524</v>
      </c>
      <c r="H441">
        <v>86</v>
      </c>
      <c r="I441">
        <v>5</v>
      </c>
      <c r="J441" s="5">
        <v>580</v>
      </c>
      <c r="K441" s="4">
        <v>1110</v>
      </c>
      <c r="L441" s="6">
        <v>45665</v>
      </c>
      <c r="M441" s="7">
        <f t="shared" si="18"/>
        <v>0.16412213740458015</v>
      </c>
      <c r="N441" s="7">
        <f t="shared" si="19"/>
        <v>5.8139534883720929E-2</v>
      </c>
      <c r="O441" s="7">
        <f t="shared" si="20"/>
        <v>-0.47747747747747749</v>
      </c>
    </row>
    <row r="442" spans="1:15" x14ac:dyDescent="0.35">
      <c r="A442">
        <v>441</v>
      </c>
      <c r="B442">
        <v>53</v>
      </c>
      <c r="C442" t="s">
        <v>19</v>
      </c>
      <c r="D442" t="s">
        <v>13</v>
      </c>
      <c r="E442" t="s">
        <v>24</v>
      </c>
      <c r="F442" t="s">
        <v>15</v>
      </c>
      <c r="G442">
        <v>2735</v>
      </c>
      <c r="H442">
        <v>177</v>
      </c>
      <c r="I442">
        <v>77</v>
      </c>
      <c r="J442" s="5">
        <v>6160</v>
      </c>
      <c r="K442" s="4">
        <v>1350</v>
      </c>
      <c r="L442" s="6">
        <v>45723</v>
      </c>
      <c r="M442" s="7">
        <f t="shared" si="18"/>
        <v>6.4716636197440586E-2</v>
      </c>
      <c r="N442" s="7">
        <f t="shared" si="19"/>
        <v>0.43502824858757061</v>
      </c>
      <c r="O442" s="7">
        <f t="shared" si="20"/>
        <v>3.5629629629629629</v>
      </c>
    </row>
    <row r="443" spans="1:15" x14ac:dyDescent="0.35">
      <c r="A443">
        <v>442</v>
      </c>
      <c r="B443">
        <v>31</v>
      </c>
      <c r="C443" t="s">
        <v>19</v>
      </c>
      <c r="D443" t="s">
        <v>13</v>
      </c>
      <c r="E443" t="s">
        <v>32</v>
      </c>
      <c r="F443" t="s">
        <v>22</v>
      </c>
      <c r="G443">
        <v>3675</v>
      </c>
      <c r="H443">
        <v>72</v>
      </c>
      <c r="I443">
        <v>13</v>
      </c>
      <c r="J443" s="5">
        <v>1625</v>
      </c>
      <c r="K443" s="4">
        <v>1001</v>
      </c>
      <c r="L443" s="6">
        <v>45687</v>
      </c>
      <c r="M443" s="7">
        <f t="shared" si="18"/>
        <v>1.9591836734693877E-2</v>
      </c>
      <c r="N443" s="7">
        <f t="shared" si="19"/>
        <v>0.18055555555555555</v>
      </c>
      <c r="O443" s="7">
        <f t="shared" si="20"/>
        <v>0.62337662337662336</v>
      </c>
    </row>
    <row r="444" spans="1:15" x14ac:dyDescent="0.35">
      <c r="A444">
        <v>443</v>
      </c>
      <c r="B444">
        <v>20</v>
      </c>
      <c r="C444" t="s">
        <v>19</v>
      </c>
      <c r="D444" t="s">
        <v>23</v>
      </c>
      <c r="E444" t="s">
        <v>33</v>
      </c>
      <c r="F444" t="s">
        <v>15</v>
      </c>
      <c r="G444">
        <v>2514</v>
      </c>
      <c r="H444">
        <v>407</v>
      </c>
      <c r="I444">
        <v>79</v>
      </c>
      <c r="J444" s="5">
        <v>11929</v>
      </c>
      <c r="K444" s="4">
        <v>1578</v>
      </c>
      <c r="L444" s="6">
        <v>45702</v>
      </c>
      <c r="M444" s="7">
        <f t="shared" si="18"/>
        <v>0.1618933969769292</v>
      </c>
      <c r="N444" s="7">
        <f t="shared" si="19"/>
        <v>0.1941031941031941</v>
      </c>
      <c r="O444" s="7">
        <f t="shared" si="20"/>
        <v>6.5595690747782003</v>
      </c>
    </row>
    <row r="445" spans="1:15" x14ac:dyDescent="0.35">
      <c r="A445">
        <v>444</v>
      </c>
      <c r="B445">
        <v>34</v>
      </c>
      <c r="C445" t="s">
        <v>12</v>
      </c>
      <c r="D445" t="s">
        <v>23</v>
      </c>
      <c r="E445" t="s">
        <v>14</v>
      </c>
      <c r="F445" t="s">
        <v>29</v>
      </c>
      <c r="G445">
        <v>4144</v>
      </c>
      <c r="H445">
        <v>132</v>
      </c>
      <c r="I445">
        <v>20</v>
      </c>
      <c r="J445" s="5">
        <v>2380</v>
      </c>
      <c r="K445" s="4">
        <v>1289</v>
      </c>
      <c r="L445" s="6">
        <v>45691</v>
      </c>
      <c r="M445" s="7">
        <f t="shared" si="18"/>
        <v>3.1853281853281852E-2</v>
      </c>
      <c r="N445" s="7">
        <f t="shared" si="19"/>
        <v>0.15151515151515152</v>
      </c>
      <c r="O445" s="7">
        <f t="shared" si="20"/>
        <v>0.84639255236617528</v>
      </c>
    </row>
    <row r="446" spans="1:15" x14ac:dyDescent="0.35">
      <c r="A446">
        <v>445</v>
      </c>
      <c r="B446">
        <v>51</v>
      </c>
      <c r="C446" t="s">
        <v>19</v>
      </c>
      <c r="D446" t="s">
        <v>23</v>
      </c>
      <c r="E446" t="s">
        <v>14</v>
      </c>
      <c r="F446" t="s">
        <v>29</v>
      </c>
      <c r="G446">
        <v>1997</v>
      </c>
      <c r="H446">
        <v>62</v>
      </c>
      <c r="I446">
        <v>60</v>
      </c>
      <c r="J446" s="5">
        <v>6600</v>
      </c>
      <c r="K446" s="4">
        <v>310</v>
      </c>
      <c r="L446" s="6">
        <v>45724</v>
      </c>
      <c r="M446" s="7">
        <f t="shared" si="18"/>
        <v>3.1046569854782172E-2</v>
      </c>
      <c r="N446" s="7">
        <f t="shared" si="19"/>
        <v>0.967741935483871</v>
      </c>
      <c r="O446" s="7">
        <f t="shared" si="20"/>
        <v>20.29032258064516</v>
      </c>
    </row>
    <row r="447" spans="1:15" x14ac:dyDescent="0.35">
      <c r="A447">
        <v>446</v>
      </c>
      <c r="B447">
        <v>46</v>
      </c>
      <c r="C447" t="s">
        <v>12</v>
      </c>
      <c r="D447" t="s">
        <v>13</v>
      </c>
      <c r="E447" t="s">
        <v>14</v>
      </c>
      <c r="F447" t="s">
        <v>29</v>
      </c>
      <c r="G447">
        <v>3451</v>
      </c>
      <c r="H447">
        <v>264</v>
      </c>
      <c r="I447">
        <v>59</v>
      </c>
      <c r="J447" s="5">
        <v>11623</v>
      </c>
      <c r="K447" s="4">
        <v>1250</v>
      </c>
      <c r="L447" s="6">
        <v>45710</v>
      </c>
      <c r="M447" s="7">
        <f t="shared" si="18"/>
        <v>7.6499565343378734E-2</v>
      </c>
      <c r="N447" s="7">
        <f t="shared" si="19"/>
        <v>0.22348484848484848</v>
      </c>
      <c r="O447" s="7">
        <f t="shared" si="20"/>
        <v>8.2984000000000009</v>
      </c>
    </row>
    <row r="448" spans="1:15" x14ac:dyDescent="0.35">
      <c r="A448">
        <v>447</v>
      </c>
      <c r="B448">
        <v>30</v>
      </c>
      <c r="C448" t="s">
        <v>12</v>
      </c>
      <c r="D448" t="s">
        <v>27</v>
      </c>
      <c r="E448" t="s">
        <v>25</v>
      </c>
      <c r="F448" t="s">
        <v>29</v>
      </c>
      <c r="G448">
        <v>4378</v>
      </c>
      <c r="H448">
        <v>370</v>
      </c>
      <c r="I448">
        <v>21</v>
      </c>
      <c r="J448" s="5">
        <v>2289</v>
      </c>
      <c r="K448" s="4">
        <v>1456</v>
      </c>
      <c r="L448" s="6">
        <v>45676</v>
      </c>
      <c r="M448" s="7">
        <f t="shared" si="18"/>
        <v>8.4513476473275465E-2</v>
      </c>
      <c r="N448" s="7">
        <f t="shared" si="19"/>
        <v>5.675675675675676E-2</v>
      </c>
      <c r="O448" s="7">
        <f t="shared" si="20"/>
        <v>0.57211538461538458</v>
      </c>
    </row>
    <row r="449" spans="1:15" x14ac:dyDescent="0.35">
      <c r="A449">
        <v>448</v>
      </c>
      <c r="B449">
        <v>34</v>
      </c>
      <c r="C449" t="s">
        <v>19</v>
      </c>
      <c r="D449" t="s">
        <v>20</v>
      </c>
      <c r="E449" t="s">
        <v>14</v>
      </c>
      <c r="F449" t="s">
        <v>18</v>
      </c>
      <c r="G449">
        <v>4358</v>
      </c>
      <c r="H449">
        <v>362</v>
      </c>
      <c r="I449">
        <v>29</v>
      </c>
      <c r="J449" s="5">
        <v>3190</v>
      </c>
      <c r="K449" s="4">
        <v>925</v>
      </c>
      <c r="L449" s="6">
        <v>45680</v>
      </c>
      <c r="M449" s="7">
        <f t="shared" si="18"/>
        <v>8.3065626434144099E-2</v>
      </c>
      <c r="N449" s="7">
        <f t="shared" si="19"/>
        <v>8.0110497237569064E-2</v>
      </c>
      <c r="O449" s="7">
        <f t="shared" si="20"/>
        <v>2.4486486486486485</v>
      </c>
    </row>
    <row r="450" spans="1:15" x14ac:dyDescent="0.35">
      <c r="A450">
        <v>449</v>
      </c>
      <c r="B450">
        <v>31</v>
      </c>
      <c r="C450" t="s">
        <v>19</v>
      </c>
      <c r="D450" t="s">
        <v>23</v>
      </c>
      <c r="E450" t="s">
        <v>33</v>
      </c>
      <c r="F450" t="s">
        <v>18</v>
      </c>
      <c r="G450">
        <v>2089</v>
      </c>
      <c r="H450">
        <v>101</v>
      </c>
      <c r="I450">
        <v>24</v>
      </c>
      <c r="J450" s="5">
        <v>4632</v>
      </c>
      <c r="K450" s="4">
        <v>359</v>
      </c>
      <c r="L450" s="6">
        <v>45685</v>
      </c>
      <c r="M450" s="7">
        <f t="shared" si="18"/>
        <v>4.8348492101483967E-2</v>
      </c>
      <c r="N450" s="7">
        <f t="shared" si="19"/>
        <v>0.23762376237623761</v>
      </c>
      <c r="O450" s="7">
        <f t="shared" si="20"/>
        <v>11.902506963788301</v>
      </c>
    </row>
    <row r="451" spans="1:15" x14ac:dyDescent="0.35">
      <c r="A451">
        <v>450</v>
      </c>
      <c r="B451">
        <v>47</v>
      </c>
      <c r="C451" t="s">
        <v>12</v>
      </c>
      <c r="D451" t="s">
        <v>23</v>
      </c>
      <c r="E451" t="s">
        <v>32</v>
      </c>
      <c r="F451" t="s">
        <v>29</v>
      </c>
      <c r="G451">
        <v>1511</v>
      </c>
      <c r="H451">
        <v>102</v>
      </c>
      <c r="I451">
        <v>28</v>
      </c>
      <c r="J451" s="5">
        <v>2828</v>
      </c>
      <c r="K451" s="4">
        <v>1046</v>
      </c>
      <c r="L451" s="6">
        <v>45734</v>
      </c>
      <c r="M451" s="7">
        <f t="shared" ref="M451:M514" si="21">H451/G451</f>
        <v>6.7504963600264728E-2</v>
      </c>
      <c r="N451" s="7">
        <f t="shared" ref="N451:N514" si="22">I451/H451</f>
        <v>0.27450980392156865</v>
      </c>
      <c r="O451" s="7">
        <f t="shared" ref="O451:O514" si="23">(J451-K451)/K451</f>
        <v>1.7036328871892925</v>
      </c>
    </row>
    <row r="452" spans="1:15" x14ac:dyDescent="0.35">
      <c r="A452">
        <v>451</v>
      </c>
      <c r="B452">
        <v>51</v>
      </c>
      <c r="C452" t="s">
        <v>19</v>
      </c>
      <c r="D452" t="s">
        <v>20</v>
      </c>
      <c r="E452" t="s">
        <v>30</v>
      </c>
      <c r="F452" t="s">
        <v>29</v>
      </c>
      <c r="G452">
        <v>1535</v>
      </c>
      <c r="H452">
        <v>168</v>
      </c>
      <c r="I452">
        <v>35</v>
      </c>
      <c r="J452" s="5">
        <v>5635</v>
      </c>
      <c r="K452" s="4">
        <v>1513</v>
      </c>
      <c r="L452" s="6">
        <v>45733</v>
      </c>
      <c r="M452" s="7">
        <f t="shared" si="21"/>
        <v>0.10944625407166124</v>
      </c>
      <c r="N452" s="7">
        <f t="shared" si="22"/>
        <v>0.20833333333333334</v>
      </c>
      <c r="O452" s="7">
        <f t="shared" si="23"/>
        <v>2.7243886318572375</v>
      </c>
    </row>
    <row r="453" spans="1:15" x14ac:dyDescent="0.35">
      <c r="A453">
        <v>452</v>
      </c>
      <c r="B453">
        <v>34</v>
      </c>
      <c r="C453" t="s">
        <v>12</v>
      </c>
      <c r="D453" t="s">
        <v>13</v>
      </c>
      <c r="E453" t="s">
        <v>14</v>
      </c>
      <c r="F453" t="s">
        <v>22</v>
      </c>
      <c r="G453">
        <v>1764</v>
      </c>
      <c r="H453">
        <v>398</v>
      </c>
      <c r="I453">
        <v>30</v>
      </c>
      <c r="J453" s="5">
        <v>4950</v>
      </c>
      <c r="K453" s="4">
        <v>1319</v>
      </c>
      <c r="L453" s="6">
        <v>45745</v>
      </c>
      <c r="M453" s="7">
        <f t="shared" si="21"/>
        <v>0.2256235827664399</v>
      </c>
      <c r="N453" s="7">
        <f t="shared" si="22"/>
        <v>7.5376884422110546E-2</v>
      </c>
      <c r="O453" s="7">
        <f t="shared" si="23"/>
        <v>2.7528430629264595</v>
      </c>
    </row>
    <row r="454" spans="1:15" x14ac:dyDescent="0.35">
      <c r="A454">
        <v>453</v>
      </c>
      <c r="B454">
        <v>46</v>
      </c>
      <c r="C454" t="s">
        <v>12</v>
      </c>
      <c r="D454" t="s">
        <v>26</v>
      </c>
      <c r="E454" t="s">
        <v>30</v>
      </c>
      <c r="F454" t="s">
        <v>15</v>
      </c>
      <c r="G454">
        <v>1317</v>
      </c>
      <c r="H454">
        <v>313</v>
      </c>
      <c r="I454">
        <v>45</v>
      </c>
      <c r="J454" s="5">
        <v>6660</v>
      </c>
      <c r="K454" s="4">
        <v>589</v>
      </c>
      <c r="L454" s="6">
        <v>45722</v>
      </c>
      <c r="M454" s="7">
        <f t="shared" si="21"/>
        <v>0.23766135155656795</v>
      </c>
      <c r="N454" s="7">
        <f t="shared" si="22"/>
        <v>0.14376996805111822</v>
      </c>
      <c r="O454" s="7">
        <f t="shared" si="23"/>
        <v>10.30730050933786</v>
      </c>
    </row>
    <row r="455" spans="1:15" x14ac:dyDescent="0.35">
      <c r="A455">
        <v>454</v>
      </c>
      <c r="B455">
        <v>53</v>
      </c>
      <c r="C455" t="s">
        <v>19</v>
      </c>
      <c r="D455" t="s">
        <v>23</v>
      </c>
      <c r="E455" t="s">
        <v>33</v>
      </c>
      <c r="F455" t="s">
        <v>22</v>
      </c>
      <c r="G455">
        <v>4732</v>
      </c>
      <c r="H455">
        <v>460</v>
      </c>
      <c r="I455">
        <v>38</v>
      </c>
      <c r="J455" s="5">
        <v>5586</v>
      </c>
      <c r="K455" s="4">
        <v>627</v>
      </c>
      <c r="L455" s="6">
        <v>45672</v>
      </c>
      <c r="M455" s="7">
        <f t="shared" si="21"/>
        <v>9.7210481825866446E-2</v>
      </c>
      <c r="N455" s="7">
        <f t="shared" si="22"/>
        <v>8.2608695652173908E-2</v>
      </c>
      <c r="O455" s="7">
        <f t="shared" si="23"/>
        <v>7.9090909090909092</v>
      </c>
    </row>
    <row r="456" spans="1:15" x14ac:dyDescent="0.35">
      <c r="A456">
        <v>455</v>
      </c>
      <c r="B456">
        <v>29</v>
      </c>
      <c r="C456" t="s">
        <v>19</v>
      </c>
      <c r="D456" t="s">
        <v>26</v>
      </c>
      <c r="E456" t="s">
        <v>24</v>
      </c>
      <c r="F456" t="s">
        <v>22</v>
      </c>
      <c r="G456">
        <v>1318</v>
      </c>
      <c r="H456">
        <v>190</v>
      </c>
      <c r="I456">
        <v>53</v>
      </c>
      <c r="J456" s="5">
        <v>10123</v>
      </c>
      <c r="K456" s="4">
        <v>397</v>
      </c>
      <c r="L456" s="6">
        <v>45694</v>
      </c>
      <c r="M456" s="7">
        <f t="shared" si="21"/>
        <v>0.1441578148710167</v>
      </c>
      <c r="N456" s="7">
        <f t="shared" si="22"/>
        <v>0.27894736842105261</v>
      </c>
      <c r="O456" s="7">
        <f t="shared" si="23"/>
        <v>24.498740554156171</v>
      </c>
    </row>
    <row r="457" spans="1:15" x14ac:dyDescent="0.35">
      <c r="A457">
        <v>456</v>
      </c>
      <c r="B457">
        <v>44</v>
      </c>
      <c r="C457" t="s">
        <v>19</v>
      </c>
      <c r="D457" t="s">
        <v>26</v>
      </c>
      <c r="E457" t="s">
        <v>30</v>
      </c>
      <c r="F457" t="s">
        <v>18</v>
      </c>
      <c r="G457">
        <v>2948</v>
      </c>
      <c r="H457">
        <v>235</v>
      </c>
      <c r="I457">
        <v>33</v>
      </c>
      <c r="J457" s="5">
        <v>4587</v>
      </c>
      <c r="K457" s="4">
        <v>1128</v>
      </c>
      <c r="L457" s="6">
        <v>45777</v>
      </c>
      <c r="M457" s="7">
        <f t="shared" si="21"/>
        <v>7.9715061058344638E-2</v>
      </c>
      <c r="N457" s="7">
        <f t="shared" si="22"/>
        <v>0.14042553191489363</v>
      </c>
      <c r="O457" s="7">
        <f t="shared" si="23"/>
        <v>3.0664893617021276</v>
      </c>
    </row>
    <row r="458" spans="1:15" x14ac:dyDescent="0.35">
      <c r="A458">
        <v>457</v>
      </c>
      <c r="B458">
        <v>54</v>
      </c>
      <c r="C458" t="s">
        <v>12</v>
      </c>
      <c r="D458" t="s">
        <v>13</v>
      </c>
      <c r="E458" t="s">
        <v>34</v>
      </c>
      <c r="F458" t="s">
        <v>18</v>
      </c>
      <c r="G458">
        <v>4618</v>
      </c>
      <c r="H458">
        <v>262</v>
      </c>
      <c r="I458">
        <v>25</v>
      </c>
      <c r="J458" s="5">
        <v>2300</v>
      </c>
      <c r="K458" s="4">
        <v>434</v>
      </c>
      <c r="L458" s="6">
        <v>45681</v>
      </c>
      <c r="M458" s="7">
        <f t="shared" si="21"/>
        <v>5.6734517106972714E-2</v>
      </c>
      <c r="N458" s="7">
        <f t="shared" si="22"/>
        <v>9.5419847328244281E-2</v>
      </c>
      <c r="O458" s="7">
        <f t="shared" si="23"/>
        <v>4.2995391705069128</v>
      </c>
    </row>
    <row r="459" spans="1:15" x14ac:dyDescent="0.35">
      <c r="A459">
        <v>458</v>
      </c>
      <c r="B459">
        <v>47</v>
      </c>
      <c r="C459" t="s">
        <v>19</v>
      </c>
      <c r="D459" t="s">
        <v>20</v>
      </c>
      <c r="E459" t="s">
        <v>30</v>
      </c>
      <c r="F459" t="s">
        <v>22</v>
      </c>
      <c r="G459">
        <v>1022</v>
      </c>
      <c r="H459">
        <v>322</v>
      </c>
      <c r="I459">
        <v>72</v>
      </c>
      <c r="J459" s="5">
        <v>7488</v>
      </c>
      <c r="K459" s="4">
        <v>630</v>
      </c>
      <c r="L459" s="6">
        <v>45678</v>
      </c>
      <c r="M459" s="7">
        <f t="shared" si="21"/>
        <v>0.31506849315068491</v>
      </c>
      <c r="N459" s="7">
        <f t="shared" si="22"/>
        <v>0.2236024844720497</v>
      </c>
      <c r="O459" s="7">
        <f t="shared" si="23"/>
        <v>10.885714285714286</v>
      </c>
    </row>
    <row r="460" spans="1:15" x14ac:dyDescent="0.35">
      <c r="A460">
        <v>459</v>
      </c>
      <c r="B460">
        <v>45</v>
      </c>
      <c r="C460" t="s">
        <v>12</v>
      </c>
      <c r="D460" t="s">
        <v>20</v>
      </c>
      <c r="E460" t="s">
        <v>30</v>
      </c>
      <c r="F460" t="s">
        <v>18</v>
      </c>
      <c r="G460">
        <v>1816</v>
      </c>
      <c r="H460">
        <v>347</v>
      </c>
      <c r="I460">
        <v>21</v>
      </c>
      <c r="J460" s="5">
        <v>4137</v>
      </c>
      <c r="K460" s="4">
        <v>1324</v>
      </c>
      <c r="L460" s="6">
        <v>45756</v>
      </c>
      <c r="M460" s="7">
        <f t="shared" si="21"/>
        <v>0.19107929515418501</v>
      </c>
      <c r="N460" s="7">
        <f t="shared" si="22"/>
        <v>6.0518731988472622E-2</v>
      </c>
      <c r="O460" s="7">
        <f t="shared" si="23"/>
        <v>2.1246223564954683</v>
      </c>
    </row>
    <row r="461" spans="1:15" x14ac:dyDescent="0.35">
      <c r="A461">
        <v>460</v>
      </c>
      <c r="B461">
        <v>54</v>
      </c>
      <c r="C461" t="s">
        <v>19</v>
      </c>
      <c r="D461" t="s">
        <v>13</v>
      </c>
      <c r="E461" t="s">
        <v>32</v>
      </c>
      <c r="F461" t="s">
        <v>18</v>
      </c>
      <c r="G461">
        <v>3874</v>
      </c>
      <c r="H461">
        <v>195</v>
      </c>
      <c r="I461">
        <v>75</v>
      </c>
      <c r="J461" s="5">
        <v>12075</v>
      </c>
      <c r="K461" s="4">
        <v>1236</v>
      </c>
      <c r="L461" s="6">
        <v>45688</v>
      </c>
      <c r="M461" s="7">
        <f t="shared" si="21"/>
        <v>5.0335570469798654E-2</v>
      </c>
      <c r="N461" s="7">
        <f t="shared" si="22"/>
        <v>0.38461538461538464</v>
      </c>
      <c r="O461" s="7">
        <f t="shared" si="23"/>
        <v>8.7694174757281562</v>
      </c>
    </row>
    <row r="462" spans="1:15" x14ac:dyDescent="0.35">
      <c r="A462">
        <v>461</v>
      </c>
      <c r="B462">
        <v>50</v>
      </c>
      <c r="C462" t="s">
        <v>19</v>
      </c>
      <c r="D462" t="s">
        <v>23</v>
      </c>
      <c r="E462" t="s">
        <v>32</v>
      </c>
      <c r="F462" t="s">
        <v>22</v>
      </c>
      <c r="G462">
        <v>4924</v>
      </c>
      <c r="H462">
        <v>215</v>
      </c>
      <c r="I462">
        <v>79</v>
      </c>
      <c r="J462" s="5">
        <v>13035</v>
      </c>
      <c r="K462" s="4">
        <v>1151</v>
      </c>
      <c r="L462" s="6">
        <v>45766</v>
      </c>
      <c r="M462" s="7">
        <f t="shared" si="21"/>
        <v>4.3663688058489032E-2</v>
      </c>
      <c r="N462" s="7">
        <f t="shared" si="22"/>
        <v>0.36744186046511629</v>
      </c>
      <c r="O462" s="7">
        <f t="shared" si="23"/>
        <v>10.324934839270199</v>
      </c>
    </row>
    <row r="463" spans="1:15" x14ac:dyDescent="0.35">
      <c r="A463">
        <v>462</v>
      </c>
      <c r="B463">
        <v>24</v>
      </c>
      <c r="C463" t="s">
        <v>19</v>
      </c>
      <c r="D463" t="s">
        <v>27</v>
      </c>
      <c r="E463" t="s">
        <v>32</v>
      </c>
      <c r="F463" t="s">
        <v>15</v>
      </c>
      <c r="G463">
        <v>2378</v>
      </c>
      <c r="H463">
        <v>222</v>
      </c>
      <c r="I463">
        <v>38</v>
      </c>
      <c r="J463" s="5">
        <v>3306</v>
      </c>
      <c r="K463" s="4">
        <v>1951</v>
      </c>
      <c r="L463" s="6">
        <v>45675</v>
      </c>
      <c r="M463" s="7">
        <f t="shared" si="21"/>
        <v>9.3355761143818342E-2</v>
      </c>
      <c r="N463" s="7">
        <f t="shared" si="22"/>
        <v>0.17117117117117117</v>
      </c>
      <c r="O463" s="7">
        <f t="shared" si="23"/>
        <v>0.69451563300871344</v>
      </c>
    </row>
    <row r="464" spans="1:15" x14ac:dyDescent="0.35">
      <c r="A464">
        <v>463</v>
      </c>
      <c r="B464">
        <v>18</v>
      </c>
      <c r="C464" t="s">
        <v>19</v>
      </c>
      <c r="D464" t="s">
        <v>20</v>
      </c>
      <c r="E464" t="s">
        <v>32</v>
      </c>
      <c r="F464" t="s">
        <v>22</v>
      </c>
      <c r="G464">
        <v>1439</v>
      </c>
      <c r="H464">
        <v>198</v>
      </c>
      <c r="I464">
        <v>32</v>
      </c>
      <c r="J464" s="5">
        <v>4256</v>
      </c>
      <c r="K464" s="4">
        <v>687</v>
      </c>
      <c r="L464" s="6">
        <v>45678</v>
      </c>
      <c r="M464" s="7">
        <f t="shared" si="21"/>
        <v>0.13759555246699096</v>
      </c>
      <c r="N464" s="7">
        <f t="shared" si="22"/>
        <v>0.16161616161616163</v>
      </c>
      <c r="O464" s="7">
        <f t="shared" si="23"/>
        <v>5.1950509461426488</v>
      </c>
    </row>
    <row r="465" spans="1:15" x14ac:dyDescent="0.35">
      <c r="A465">
        <v>464</v>
      </c>
      <c r="B465">
        <v>27</v>
      </c>
      <c r="C465" t="s">
        <v>19</v>
      </c>
      <c r="D465" t="s">
        <v>23</v>
      </c>
      <c r="E465" t="s">
        <v>25</v>
      </c>
      <c r="F465" t="s">
        <v>29</v>
      </c>
      <c r="G465">
        <v>3823</v>
      </c>
      <c r="H465">
        <v>284</v>
      </c>
      <c r="I465">
        <v>17</v>
      </c>
      <c r="J465" s="5">
        <v>2176</v>
      </c>
      <c r="K465" s="4">
        <v>1536</v>
      </c>
      <c r="L465" s="6">
        <v>45701</v>
      </c>
      <c r="M465" s="7">
        <f t="shared" si="21"/>
        <v>7.4287208998168971E-2</v>
      </c>
      <c r="N465" s="7">
        <f t="shared" si="22"/>
        <v>5.9859154929577461E-2</v>
      </c>
      <c r="O465" s="7">
        <f t="shared" si="23"/>
        <v>0.41666666666666669</v>
      </c>
    </row>
    <row r="466" spans="1:15" x14ac:dyDescent="0.35">
      <c r="A466">
        <v>465</v>
      </c>
      <c r="B466">
        <v>41</v>
      </c>
      <c r="C466" t="s">
        <v>19</v>
      </c>
      <c r="D466" t="s">
        <v>13</v>
      </c>
      <c r="E466" t="s">
        <v>33</v>
      </c>
      <c r="F466" t="s">
        <v>22</v>
      </c>
      <c r="G466">
        <v>2600</v>
      </c>
      <c r="H466">
        <v>123</v>
      </c>
      <c r="I466">
        <v>50</v>
      </c>
      <c r="J466" s="5">
        <v>5800</v>
      </c>
      <c r="K466" s="4">
        <v>1748</v>
      </c>
      <c r="L466" s="6">
        <v>45743</v>
      </c>
      <c r="M466" s="7">
        <f t="shared" si="21"/>
        <v>4.7307692307692308E-2</v>
      </c>
      <c r="N466" s="7">
        <f t="shared" si="22"/>
        <v>0.4065040650406504</v>
      </c>
      <c r="O466" s="7">
        <f t="shared" si="23"/>
        <v>2.3180778032036615</v>
      </c>
    </row>
    <row r="467" spans="1:15" x14ac:dyDescent="0.35">
      <c r="A467">
        <v>466</v>
      </c>
      <c r="B467">
        <v>34</v>
      </c>
      <c r="C467" t="s">
        <v>19</v>
      </c>
      <c r="D467" t="s">
        <v>26</v>
      </c>
      <c r="E467" t="s">
        <v>28</v>
      </c>
      <c r="F467" t="s">
        <v>15</v>
      </c>
      <c r="G467">
        <v>4993</v>
      </c>
      <c r="H467">
        <v>187</v>
      </c>
      <c r="I467">
        <v>39</v>
      </c>
      <c r="J467" s="5">
        <v>7410</v>
      </c>
      <c r="K467" s="4">
        <v>586</v>
      </c>
      <c r="L467" s="6">
        <v>45773</v>
      </c>
      <c r="M467" s="7">
        <f t="shared" si="21"/>
        <v>3.7452433406769479E-2</v>
      </c>
      <c r="N467" s="7">
        <f t="shared" si="22"/>
        <v>0.20855614973262032</v>
      </c>
      <c r="O467" s="7">
        <f t="shared" si="23"/>
        <v>11.645051194539249</v>
      </c>
    </row>
    <row r="468" spans="1:15" x14ac:dyDescent="0.35">
      <c r="A468">
        <v>467</v>
      </c>
      <c r="B468">
        <v>18</v>
      </c>
      <c r="C468" t="s">
        <v>12</v>
      </c>
      <c r="D468" t="s">
        <v>16</v>
      </c>
      <c r="E468" t="s">
        <v>32</v>
      </c>
      <c r="F468" t="s">
        <v>31</v>
      </c>
      <c r="G468">
        <v>4766</v>
      </c>
      <c r="H468">
        <v>458</v>
      </c>
      <c r="I468">
        <v>64</v>
      </c>
      <c r="J468" s="5">
        <v>11584</v>
      </c>
      <c r="K468" s="4">
        <v>1057</v>
      </c>
      <c r="L468" s="6">
        <v>45776</v>
      </c>
      <c r="M468" s="7">
        <f t="shared" si="21"/>
        <v>9.6097356273604703E-2</v>
      </c>
      <c r="N468" s="7">
        <f t="shared" si="22"/>
        <v>0.13973799126637554</v>
      </c>
      <c r="O468" s="7">
        <f t="shared" si="23"/>
        <v>9.9593188268684951</v>
      </c>
    </row>
    <row r="469" spans="1:15" x14ac:dyDescent="0.35">
      <c r="A469">
        <v>468</v>
      </c>
      <c r="B469">
        <v>45</v>
      </c>
      <c r="C469" t="s">
        <v>12</v>
      </c>
      <c r="D469" t="s">
        <v>16</v>
      </c>
      <c r="E469" t="s">
        <v>21</v>
      </c>
      <c r="F469" t="s">
        <v>31</v>
      </c>
      <c r="G469">
        <v>3727</v>
      </c>
      <c r="H469">
        <v>321</v>
      </c>
      <c r="I469">
        <v>51</v>
      </c>
      <c r="J469" s="5">
        <v>9333</v>
      </c>
      <c r="K469" s="4">
        <v>664</v>
      </c>
      <c r="L469" s="6">
        <v>45733</v>
      </c>
      <c r="M469" s="7">
        <f t="shared" si="21"/>
        <v>8.612825328682587E-2</v>
      </c>
      <c r="N469" s="7">
        <f t="shared" si="22"/>
        <v>0.15887850467289719</v>
      </c>
      <c r="O469" s="7">
        <f t="shared" si="23"/>
        <v>13.055722891566266</v>
      </c>
    </row>
    <row r="470" spans="1:15" x14ac:dyDescent="0.35">
      <c r="A470">
        <v>469</v>
      </c>
      <c r="B470">
        <v>47</v>
      </c>
      <c r="C470" t="s">
        <v>19</v>
      </c>
      <c r="D470" t="s">
        <v>20</v>
      </c>
      <c r="E470" t="s">
        <v>30</v>
      </c>
      <c r="F470" t="s">
        <v>29</v>
      </c>
      <c r="G470">
        <v>4366</v>
      </c>
      <c r="H470">
        <v>230</v>
      </c>
      <c r="I470">
        <v>46</v>
      </c>
      <c r="J470" s="5">
        <v>5796</v>
      </c>
      <c r="K470" s="4">
        <v>1922</v>
      </c>
      <c r="L470" s="6">
        <v>45691</v>
      </c>
      <c r="M470" s="7">
        <f t="shared" si="21"/>
        <v>5.2679798442510306E-2</v>
      </c>
      <c r="N470" s="7">
        <f t="shared" si="22"/>
        <v>0.2</v>
      </c>
      <c r="O470" s="7">
        <f t="shared" si="23"/>
        <v>2.0156087408949013</v>
      </c>
    </row>
    <row r="471" spans="1:15" x14ac:dyDescent="0.35">
      <c r="A471">
        <v>470</v>
      </c>
      <c r="B471">
        <v>24</v>
      </c>
      <c r="C471" t="s">
        <v>19</v>
      </c>
      <c r="D471" t="s">
        <v>20</v>
      </c>
      <c r="E471" t="s">
        <v>32</v>
      </c>
      <c r="F471" t="s">
        <v>15</v>
      </c>
      <c r="G471">
        <v>3962</v>
      </c>
      <c r="H471">
        <v>273</v>
      </c>
      <c r="I471">
        <v>29</v>
      </c>
      <c r="J471" s="5">
        <v>3886</v>
      </c>
      <c r="K471" s="4">
        <v>232</v>
      </c>
      <c r="L471" s="6">
        <v>45714</v>
      </c>
      <c r="M471" s="7">
        <f t="shared" si="21"/>
        <v>6.8904593639575976E-2</v>
      </c>
      <c r="N471" s="7">
        <f t="shared" si="22"/>
        <v>0.10622710622710622</v>
      </c>
      <c r="O471" s="7">
        <f t="shared" si="23"/>
        <v>15.75</v>
      </c>
    </row>
    <row r="472" spans="1:15" x14ac:dyDescent="0.35">
      <c r="A472">
        <v>471</v>
      </c>
      <c r="B472">
        <v>53</v>
      </c>
      <c r="C472" t="s">
        <v>12</v>
      </c>
      <c r="D472" t="s">
        <v>13</v>
      </c>
      <c r="E472" t="s">
        <v>14</v>
      </c>
      <c r="F472" t="s">
        <v>31</v>
      </c>
      <c r="G472">
        <v>4209</v>
      </c>
      <c r="H472">
        <v>61</v>
      </c>
      <c r="I472">
        <v>20</v>
      </c>
      <c r="J472" s="5">
        <v>2440</v>
      </c>
      <c r="K472" s="4">
        <v>919</v>
      </c>
      <c r="L472" s="6">
        <v>45757</v>
      </c>
      <c r="M472" s="7">
        <f t="shared" si="21"/>
        <v>1.4492753623188406E-2</v>
      </c>
      <c r="N472" s="7">
        <f t="shared" si="22"/>
        <v>0.32786885245901637</v>
      </c>
      <c r="O472" s="7">
        <f t="shared" si="23"/>
        <v>1.6550598476605005</v>
      </c>
    </row>
    <row r="473" spans="1:15" x14ac:dyDescent="0.35">
      <c r="A473">
        <v>472</v>
      </c>
      <c r="B473">
        <v>40</v>
      </c>
      <c r="C473" t="s">
        <v>12</v>
      </c>
      <c r="D473" t="s">
        <v>16</v>
      </c>
      <c r="E473" t="s">
        <v>30</v>
      </c>
      <c r="F473" t="s">
        <v>15</v>
      </c>
      <c r="G473">
        <v>4902</v>
      </c>
      <c r="H473">
        <v>209</v>
      </c>
      <c r="I473">
        <v>79</v>
      </c>
      <c r="J473" s="5">
        <v>13904</v>
      </c>
      <c r="K473" s="4">
        <v>975</v>
      </c>
      <c r="L473" s="6">
        <v>45777</v>
      </c>
      <c r="M473" s="7">
        <f t="shared" si="21"/>
        <v>4.2635658914728682E-2</v>
      </c>
      <c r="N473" s="7">
        <f t="shared" si="22"/>
        <v>0.37799043062200954</v>
      </c>
      <c r="O473" s="7">
        <f t="shared" si="23"/>
        <v>13.260512820512821</v>
      </c>
    </row>
    <row r="474" spans="1:15" x14ac:dyDescent="0.35">
      <c r="A474">
        <v>473</v>
      </c>
      <c r="B474">
        <v>20</v>
      </c>
      <c r="C474" t="s">
        <v>12</v>
      </c>
      <c r="D474" t="s">
        <v>26</v>
      </c>
      <c r="E474" t="s">
        <v>30</v>
      </c>
      <c r="F474" t="s">
        <v>29</v>
      </c>
      <c r="G474">
        <v>3616</v>
      </c>
      <c r="H474">
        <v>263</v>
      </c>
      <c r="I474">
        <v>63</v>
      </c>
      <c r="J474" s="5">
        <v>11529</v>
      </c>
      <c r="K474" s="4">
        <v>843</v>
      </c>
      <c r="L474" s="6">
        <v>45686</v>
      </c>
      <c r="M474" s="7">
        <f t="shared" si="21"/>
        <v>7.2732300884955747E-2</v>
      </c>
      <c r="N474" s="7">
        <f t="shared" si="22"/>
        <v>0.23954372623574144</v>
      </c>
      <c r="O474" s="7">
        <f t="shared" si="23"/>
        <v>12.676156583629894</v>
      </c>
    </row>
    <row r="475" spans="1:15" x14ac:dyDescent="0.35">
      <c r="A475">
        <v>474</v>
      </c>
      <c r="B475">
        <v>40</v>
      </c>
      <c r="C475" t="s">
        <v>12</v>
      </c>
      <c r="D475" t="s">
        <v>26</v>
      </c>
      <c r="E475" t="s">
        <v>21</v>
      </c>
      <c r="F475" t="s">
        <v>29</v>
      </c>
      <c r="G475">
        <v>3157</v>
      </c>
      <c r="H475">
        <v>275</v>
      </c>
      <c r="I475">
        <v>32</v>
      </c>
      <c r="J475" s="5">
        <v>5056</v>
      </c>
      <c r="K475" s="4">
        <v>1428</v>
      </c>
      <c r="L475" s="6">
        <v>45661</v>
      </c>
      <c r="M475" s="7">
        <f t="shared" si="21"/>
        <v>8.7108013937282236E-2</v>
      </c>
      <c r="N475" s="7">
        <f t="shared" si="22"/>
        <v>0.11636363636363636</v>
      </c>
      <c r="O475" s="7">
        <f t="shared" si="23"/>
        <v>2.5406162464985993</v>
      </c>
    </row>
    <row r="476" spans="1:15" x14ac:dyDescent="0.35">
      <c r="A476">
        <v>475</v>
      </c>
      <c r="B476">
        <v>28</v>
      </c>
      <c r="C476" t="s">
        <v>12</v>
      </c>
      <c r="D476" t="s">
        <v>20</v>
      </c>
      <c r="E476" t="s">
        <v>28</v>
      </c>
      <c r="F476" t="s">
        <v>15</v>
      </c>
      <c r="G476">
        <v>892</v>
      </c>
      <c r="H476">
        <v>168</v>
      </c>
      <c r="I476">
        <v>9</v>
      </c>
      <c r="J476" s="5">
        <v>1467</v>
      </c>
      <c r="K476" s="4">
        <v>807</v>
      </c>
      <c r="L476" s="6">
        <v>45762</v>
      </c>
      <c r="M476" s="7">
        <f t="shared" si="21"/>
        <v>0.18834080717488788</v>
      </c>
      <c r="N476" s="7">
        <f t="shared" si="22"/>
        <v>5.3571428571428568E-2</v>
      </c>
      <c r="O476" s="7">
        <f t="shared" si="23"/>
        <v>0.81784386617100369</v>
      </c>
    </row>
    <row r="477" spans="1:15" x14ac:dyDescent="0.35">
      <c r="A477">
        <v>476</v>
      </c>
      <c r="B477">
        <v>43</v>
      </c>
      <c r="C477" t="s">
        <v>12</v>
      </c>
      <c r="D477" t="s">
        <v>16</v>
      </c>
      <c r="E477" t="s">
        <v>30</v>
      </c>
      <c r="F477" t="s">
        <v>15</v>
      </c>
      <c r="G477">
        <v>2052</v>
      </c>
      <c r="H477">
        <v>108</v>
      </c>
      <c r="I477">
        <v>75</v>
      </c>
      <c r="J477" s="5">
        <v>10200</v>
      </c>
      <c r="K477" s="4">
        <v>561</v>
      </c>
      <c r="L477" s="6">
        <v>45667</v>
      </c>
      <c r="M477" s="7">
        <f t="shared" si="21"/>
        <v>5.2631578947368418E-2</v>
      </c>
      <c r="N477" s="7">
        <f t="shared" si="22"/>
        <v>0.69444444444444442</v>
      </c>
      <c r="O477" s="7">
        <f t="shared" si="23"/>
        <v>17.181818181818183</v>
      </c>
    </row>
    <row r="478" spans="1:15" x14ac:dyDescent="0.35">
      <c r="A478">
        <v>477</v>
      </c>
      <c r="B478">
        <v>48</v>
      </c>
      <c r="C478" t="s">
        <v>19</v>
      </c>
      <c r="D478" t="s">
        <v>27</v>
      </c>
      <c r="E478" t="s">
        <v>34</v>
      </c>
      <c r="F478" t="s">
        <v>18</v>
      </c>
      <c r="G478">
        <v>960</v>
      </c>
      <c r="H478">
        <v>230</v>
      </c>
      <c r="I478">
        <v>76</v>
      </c>
      <c r="J478" s="5">
        <v>11172</v>
      </c>
      <c r="K478" s="4">
        <v>1583</v>
      </c>
      <c r="L478" s="6">
        <v>45706</v>
      </c>
      <c r="M478" s="7">
        <f t="shared" si="21"/>
        <v>0.23958333333333334</v>
      </c>
      <c r="N478" s="7">
        <f t="shared" si="22"/>
        <v>0.33043478260869563</v>
      </c>
      <c r="O478" s="7">
        <f t="shared" si="23"/>
        <v>6.0574857864813643</v>
      </c>
    </row>
    <row r="479" spans="1:15" x14ac:dyDescent="0.35">
      <c r="A479">
        <v>478</v>
      </c>
      <c r="B479">
        <v>48</v>
      </c>
      <c r="C479" t="s">
        <v>12</v>
      </c>
      <c r="D479" t="s">
        <v>27</v>
      </c>
      <c r="E479" t="s">
        <v>30</v>
      </c>
      <c r="F479" t="s">
        <v>18</v>
      </c>
      <c r="G479">
        <v>3673</v>
      </c>
      <c r="H479">
        <v>265</v>
      </c>
      <c r="I479">
        <v>58</v>
      </c>
      <c r="J479" s="5">
        <v>7888</v>
      </c>
      <c r="K479" s="4">
        <v>1923</v>
      </c>
      <c r="L479" s="6">
        <v>45703</v>
      </c>
      <c r="M479" s="7">
        <f t="shared" si="21"/>
        <v>7.2148107813776202E-2</v>
      </c>
      <c r="N479" s="7">
        <f t="shared" si="22"/>
        <v>0.21886792452830189</v>
      </c>
      <c r="O479" s="7">
        <f t="shared" si="23"/>
        <v>3.1019240769630785</v>
      </c>
    </row>
    <row r="480" spans="1:15" x14ac:dyDescent="0.35">
      <c r="A480">
        <v>479</v>
      </c>
      <c r="B480">
        <v>28</v>
      </c>
      <c r="C480" t="s">
        <v>19</v>
      </c>
      <c r="D480" t="s">
        <v>16</v>
      </c>
      <c r="E480" t="s">
        <v>17</v>
      </c>
      <c r="F480" t="s">
        <v>31</v>
      </c>
      <c r="G480">
        <v>3813</v>
      </c>
      <c r="H480">
        <v>331</v>
      </c>
      <c r="I480">
        <v>9</v>
      </c>
      <c r="J480" s="5">
        <v>1179</v>
      </c>
      <c r="K480" s="4">
        <v>1819</v>
      </c>
      <c r="L480" s="6">
        <v>45711</v>
      </c>
      <c r="M480" s="7">
        <f t="shared" si="21"/>
        <v>8.6808287437713086E-2</v>
      </c>
      <c r="N480" s="7">
        <f t="shared" si="22"/>
        <v>2.7190332326283987E-2</v>
      </c>
      <c r="O480" s="7">
        <f t="shared" si="23"/>
        <v>-0.35184167124793841</v>
      </c>
    </row>
    <row r="481" spans="1:15" x14ac:dyDescent="0.35">
      <c r="A481">
        <v>480</v>
      </c>
      <c r="B481">
        <v>49</v>
      </c>
      <c r="C481" t="s">
        <v>19</v>
      </c>
      <c r="D481" t="s">
        <v>16</v>
      </c>
      <c r="E481" t="s">
        <v>21</v>
      </c>
      <c r="F481" t="s">
        <v>29</v>
      </c>
      <c r="G481">
        <v>2196</v>
      </c>
      <c r="H481">
        <v>483</v>
      </c>
      <c r="I481">
        <v>42</v>
      </c>
      <c r="J481" s="5">
        <v>3948</v>
      </c>
      <c r="K481" s="4">
        <v>1961</v>
      </c>
      <c r="L481" s="6">
        <v>45678</v>
      </c>
      <c r="M481" s="7">
        <f t="shared" si="21"/>
        <v>0.21994535519125682</v>
      </c>
      <c r="N481" s="7">
        <f t="shared" si="22"/>
        <v>8.6956521739130432E-2</v>
      </c>
      <c r="O481" s="7">
        <f t="shared" si="23"/>
        <v>1.0132585415604283</v>
      </c>
    </row>
    <row r="482" spans="1:15" x14ac:dyDescent="0.35">
      <c r="A482">
        <v>481</v>
      </c>
      <c r="B482">
        <v>35</v>
      </c>
      <c r="C482" t="s">
        <v>12</v>
      </c>
      <c r="D482" t="s">
        <v>27</v>
      </c>
      <c r="E482" t="s">
        <v>21</v>
      </c>
      <c r="F482" t="s">
        <v>31</v>
      </c>
      <c r="G482">
        <v>3000</v>
      </c>
      <c r="H482">
        <v>439</v>
      </c>
      <c r="I482">
        <v>42</v>
      </c>
      <c r="J482" s="5">
        <v>6930</v>
      </c>
      <c r="K482" s="4">
        <v>1797</v>
      </c>
      <c r="L482" s="6">
        <v>45703</v>
      </c>
      <c r="M482" s="7">
        <f t="shared" si="21"/>
        <v>0.14633333333333334</v>
      </c>
      <c r="N482" s="7">
        <f t="shared" si="22"/>
        <v>9.5671981776765377E-2</v>
      </c>
      <c r="O482" s="7">
        <f t="shared" si="23"/>
        <v>2.8564273789649417</v>
      </c>
    </row>
    <row r="483" spans="1:15" x14ac:dyDescent="0.35">
      <c r="A483">
        <v>482</v>
      </c>
      <c r="B483">
        <v>46</v>
      </c>
      <c r="C483" t="s">
        <v>19</v>
      </c>
      <c r="D483" t="s">
        <v>23</v>
      </c>
      <c r="E483" t="s">
        <v>17</v>
      </c>
      <c r="F483" t="s">
        <v>29</v>
      </c>
      <c r="G483">
        <v>2432</v>
      </c>
      <c r="H483">
        <v>272</v>
      </c>
      <c r="I483">
        <v>7</v>
      </c>
      <c r="J483" s="5">
        <v>595</v>
      </c>
      <c r="K483" s="4">
        <v>1189</v>
      </c>
      <c r="L483" s="6">
        <v>45701</v>
      </c>
      <c r="M483" s="7">
        <f t="shared" si="21"/>
        <v>0.1118421052631579</v>
      </c>
      <c r="N483" s="7">
        <f t="shared" si="22"/>
        <v>2.5735294117647058E-2</v>
      </c>
      <c r="O483" s="7">
        <f t="shared" si="23"/>
        <v>-0.49957947855340623</v>
      </c>
    </row>
    <row r="484" spans="1:15" x14ac:dyDescent="0.35">
      <c r="A484">
        <v>483</v>
      </c>
      <c r="B484">
        <v>28</v>
      </c>
      <c r="C484" t="s">
        <v>12</v>
      </c>
      <c r="D484" t="s">
        <v>13</v>
      </c>
      <c r="E484" t="s">
        <v>33</v>
      </c>
      <c r="F484" t="s">
        <v>29</v>
      </c>
      <c r="G484">
        <v>992</v>
      </c>
      <c r="H484">
        <v>284</v>
      </c>
      <c r="I484">
        <v>37</v>
      </c>
      <c r="J484" s="5">
        <v>7067</v>
      </c>
      <c r="K484" s="4">
        <v>1944</v>
      </c>
      <c r="L484" s="6">
        <v>45668</v>
      </c>
      <c r="M484" s="7">
        <f t="shared" si="21"/>
        <v>0.28629032258064518</v>
      </c>
      <c r="N484" s="7">
        <f t="shared" si="22"/>
        <v>0.13028169014084506</v>
      </c>
      <c r="O484" s="7">
        <f t="shared" si="23"/>
        <v>2.6352880658436213</v>
      </c>
    </row>
    <row r="485" spans="1:15" x14ac:dyDescent="0.35">
      <c r="A485">
        <v>484</v>
      </c>
      <c r="B485">
        <v>52</v>
      </c>
      <c r="C485" t="s">
        <v>12</v>
      </c>
      <c r="D485" t="s">
        <v>23</v>
      </c>
      <c r="E485" t="s">
        <v>17</v>
      </c>
      <c r="F485" t="s">
        <v>15</v>
      </c>
      <c r="G485">
        <v>4063</v>
      </c>
      <c r="H485">
        <v>119</v>
      </c>
      <c r="I485">
        <v>45</v>
      </c>
      <c r="J485" s="5">
        <v>6615</v>
      </c>
      <c r="K485" s="4">
        <v>471</v>
      </c>
      <c r="L485" s="6">
        <v>45721</v>
      </c>
      <c r="M485" s="7">
        <f t="shared" si="21"/>
        <v>2.9288702928870293E-2</v>
      </c>
      <c r="N485" s="7">
        <f t="shared" si="22"/>
        <v>0.37815126050420167</v>
      </c>
      <c r="O485" s="7">
        <f t="shared" si="23"/>
        <v>13.044585987261147</v>
      </c>
    </row>
    <row r="486" spans="1:15" x14ac:dyDescent="0.35">
      <c r="A486">
        <v>485</v>
      </c>
      <c r="B486">
        <v>35</v>
      </c>
      <c r="C486" t="s">
        <v>19</v>
      </c>
      <c r="D486" t="s">
        <v>26</v>
      </c>
      <c r="E486" t="s">
        <v>24</v>
      </c>
      <c r="F486" t="s">
        <v>18</v>
      </c>
      <c r="G486">
        <v>2993</v>
      </c>
      <c r="H486">
        <v>381</v>
      </c>
      <c r="I486">
        <v>15</v>
      </c>
      <c r="J486" s="5">
        <v>2520</v>
      </c>
      <c r="K486" s="4">
        <v>556</v>
      </c>
      <c r="L486" s="6">
        <v>45744</v>
      </c>
      <c r="M486" s="7">
        <f t="shared" si="21"/>
        <v>0.12729702639492149</v>
      </c>
      <c r="N486" s="7">
        <f t="shared" si="22"/>
        <v>3.937007874015748E-2</v>
      </c>
      <c r="O486" s="7">
        <f t="shared" si="23"/>
        <v>3.5323741007194243</v>
      </c>
    </row>
    <row r="487" spans="1:15" x14ac:dyDescent="0.35">
      <c r="A487">
        <v>486</v>
      </c>
      <c r="B487">
        <v>46</v>
      </c>
      <c r="C487" t="s">
        <v>19</v>
      </c>
      <c r="D487" t="s">
        <v>27</v>
      </c>
      <c r="E487" t="s">
        <v>33</v>
      </c>
      <c r="F487" t="s">
        <v>18</v>
      </c>
      <c r="G487">
        <v>1369</v>
      </c>
      <c r="H487">
        <v>423</v>
      </c>
      <c r="I487">
        <v>30</v>
      </c>
      <c r="J487" s="5">
        <v>2490</v>
      </c>
      <c r="K487" s="4">
        <v>1613</v>
      </c>
      <c r="L487" s="6">
        <v>45674</v>
      </c>
      <c r="M487" s="7">
        <f t="shared" si="21"/>
        <v>0.30898466033601169</v>
      </c>
      <c r="N487" s="7">
        <f t="shared" si="22"/>
        <v>7.0921985815602842E-2</v>
      </c>
      <c r="O487" s="7">
        <f t="shared" si="23"/>
        <v>0.54370737755734655</v>
      </c>
    </row>
    <row r="488" spans="1:15" x14ac:dyDescent="0.35">
      <c r="A488">
        <v>487</v>
      </c>
      <c r="B488">
        <v>25</v>
      </c>
      <c r="C488" t="s">
        <v>12</v>
      </c>
      <c r="D488" t="s">
        <v>27</v>
      </c>
      <c r="E488" t="s">
        <v>21</v>
      </c>
      <c r="F488" t="s">
        <v>22</v>
      </c>
      <c r="G488">
        <v>744</v>
      </c>
      <c r="H488">
        <v>385</v>
      </c>
      <c r="I488">
        <v>70</v>
      </c>
      <c r="J488" s="5">
        <v>13860</v>
      </c>
      <c r="K488" s="4">
        <v>1129</v>
      </c>
      <c r="L488" s="6">
        <v>45665</v>
      </c>
      <c r="M488" s="7">
        <f t="shared" si="21"/>
        <v>0.51747311827956988</v>
      </c>
      <c r="N488" s="7">
        <f t="shared" si="22"/>
        <v>0.18181818181818182</v>
      </c>
      <c r="O488" s="7">
        <f t="shared" si="23"/>
        <v>11.276350752878654</v>
      </c>
    </row>
    <row r="489" spans="1:15" x14ac:dyDescent="0.35">
      <c r="A489">
        <v>488</v>
      </c>
      <c r="B489">
        <v>34</v>
      </c>
      <c r="C489" t="s">
        <v>12</v>
      </c>
      <c r="D489" t="s">
        <v>13</v>
      </c>
      <c r="E489" t="s">
        <v>32</v>
      </c>
      <c r="F489" t="s">
        <v>18</v>
      </c>
      <c r="G489">
        <v>3025</v>
      </c>
      <c r="H489">
        <v>401</v>
      </c>
      <c r="I489">
        <v>69</v>
      </c>
      <c r="J489" s="5">
        <v>8142</v>
      </c>
      <c r="K489" s="4">
        <v>1650</v>
      </c>
      <c r="L489" s="6">
        <v>45745</v>
      </c>
      <c r="M489" s="7">
        <f t="shared" si="21"/>
        <v>0.13256198347107437</v>
      </c>
      <c r="N489" s="7">
        <f t="shared" si="22"/>
        <v>0.17206982543640897</v>
      </c>
      <c r="O489" s="7">
        <f t="shared" si="23"/>
        <v>3.9345454545454546</v>
      </c>
    </row>
    <row r="490" spans="1:15" x14ac:dyDescent="0.35">
      <c r="A490">
        <v>489</v>
      </c>
      <c r="B490">
        <v>27</v>
      </c>
      <c r="C490" t="s">
        <v>19</v>
      </c>
      <c r="D490" t="s">
        <v>23</v>
      </c>
      <c r="E490" t="s">
        <v>32</v>
      </c>
      <c r="F490" t="s">
        <v>22</v>
      </c>
      <c r="G490">
        <v>3301</v>
      </c>
      <c r="H490">
        <v>391</v>
      </c>
      <c r="I490">
        <v>48</v>
      </c>
      <c r="J490" s="5">
        <v>5568</v>
      </c>
      <c r="K490" s="4">
        <v>336</v>
      </c>
      <c r="L490" s="6">
        <v>45758</v>
      </c>
      <c r="M490" s="7">
        <f t="shared" si="21"/>
        <v>0.11844895486216298</v>
      </c>
      <c r="N490" s="7">
        <f t="shared" si="22"/>
        <v>0.12276214833759591</v>
      </c>
      <c r="O490" s="7">
        <f t="shared" si="23"/>
        <v>15.571428571428571</v>
      </c>
    </row>
    <row r="491" spans="1:15" x14ac:dyDescent="0.35">
      <c r="A491">
        <v>490</v>
      </c>
      <c r="B491">
        <v>38</v>
      </c>
      <c r="C491" t="s">
        <v>12</v>
      </c>
      <c r="D491" t="s">
        <v>23</v>
      </c>
      <c r="E491" t="s">
        <v>17</v>
      </c>
      <c r="F491" t="s">
        <v>22</v>
      </c>
      <c r="G491">
        <v>4083</v>
      </c>
      <c r="H491">
        <v>205</v>
      </c>
      <c r="I491">
        <v>46</v>
      </c>
      <c r="J491" s="5">
        <v>5612</v>
      </c>
      <c r="K491" s="4">
        <v>1478</v>
      </c>
      <c r="L491" s="6">
        <v>45699</v>
      </c>
      <c r="M491" s="7">
        <f t="shared" si="21"/>
        <v>5.0208180259613031E-2</v>
      </c>
      <c r="N491" s="7">
        <f t="shared" si="22"/>
        <v>0.22439024390243903</v>
      </c>
      <c r="O491" s="7">
        <f t="shared" si="23"/>
        <v>2.7970230040595401</v>
      </c>
    </row>
    <row r="492" spans="1:15" x14ac:dyDescent="0.35">
      <c r="A492">
        <v>491</v>
      </c>
      <c r="B492">
        <v>39</v>
      </c>
      <c r="C492" t="s">
        <v>12</v>
      </c>
      <c r="D492" t="s">
        <v>16</v>
      </c>
      <c r="E492" t="s">
        <v>25</v>
      </c>
      <c r="F492" t="s">
        <v>15</v>
      </c>
      <c r="G492">
        <v>2869</v>
      </c>
      <c r="H492">
        <v>104</v>
      </c>
      <c r="I492">
        <v>76</v>
      </c>
      <c r="J492" s="5">
        <v>12920</v>
      </c>
      <c r="K492" s="4">
        <v>1143</v>
      </c>
      <c r="L492" s="6">
        <v>45684</v>
      </c>
      <c r="M492" s="7">
        <f t="shared" si="21"/>
        <v>3.6249564308121297E-2</v>
      </c>
      <c r="N492" s="7">
        <f t="shared" si="22"/>
        <v>0.73076923076923073</v>
      </c>
      <c r="O492" s="7">
        <f t="shared" si="23"/>
        <v>10.303587051618548</v>
      </c>
    </row>
    <row r="493" spans="1:15" x14ac:dyDescent="0.35">
      <c r="A493">
        <v>492</v>
      </c>
      <c r="B493">
        <v>27</v>
      </c>
      <c r="C493" t="s">
        <v>19</v>
      </c>
      <c r="D493" t="s">
        <v>26</v>
      </c>
      <c r="E493" t="s">
        <v>32</v>
      </c>
      <c r="F493" t="s">
        <v>31</v>
      </c>
      <c r="G493">
        <v>3436</v>
      </c>
      <c r="H493">
        <v>398</v>
      </c>
      <c r="I493">
        <v>71</v>
      </c>
      <c r="J493" s="5">
        <v>8804</v>
      </c>
      <c r="K493" s="4">
        <v>1876</v>
      </c>
      <c r="L493" s="6">
        <v>45666</v>
      </c>
      <c r="M493" s="7">
        <f t="shared" si="21"/>
        <v>0.11583236321303841</v>
      </c>
      <c r="N493" s="7">
        <f t="shared" si="22"/>
        <v>0.17839195979899497</v>
      </c>
      <c r="O493" s="7">
        <f t="shared" si="23"/>
        <v>3.692963752665245</v>
      </c>
    </row>
    <row r="494" spans="1:15" x14ac:dyDescent="0.35">
      <c r="A494">
        <v>493</v>
      </c>
      <c r="B494">
        <v>18</v>
      </c>
      <c r="C494" t="s">
        <v>12</v>
      </c>
      <c r="D494" t="s">
        <v>23</v>
      </c>
      <c r="E494" t="s">
        <v>30</v>
      </c>
      <c r="F494" t="s">
        <v>29</v>
      </c>
      <c r="G494">
        <v>1961</v>
      </c>
      <c r="H494">
        <v>297</v>
      </c>
      <c r="I494">
        <v>31</v>
      </c>
      <c r="J494" s="5">
        <v>6014</v>
      </c>
      <c r="K494" s="4">
        <v>745</v>
      </c>
      <c r="L494" s="6">
        <v>45750</v>
      </c>
      <c r="M494" s="7">
        <f t="shared" si="21"/>
        <v>0.15145334013258541</v>
      </c>
      <c r="N494" s="7">
        <f t="shared" si="22"/>
        <v>0.10437710437710437</v>
      </c>
      <c r="O494" s="7">
        <f t="shared" si="23"/>
        <v>7.0724832214765101</v>
      </c>
    </row>
    <row r="495" spans="1:15" x14ac:dyDescent="0.35">
      <c r="A495">
        <v>494</v>
      </c>
      <c r="B495">
        <v>47</v>
      </c>
      <c r="C495" t="s">
        <v>12</v>
      </c>
      <c r="D495" t="s">
        <v>20</v>
      </c>
      <c r="E495" t="s">
        <v>24</v>
      </c>
      <c r="F495" t="s">
        <v>29</v>
      </c>
      <c r="G495">
        <v>4922</v>
      </c>
      <c r="H495">
        <v>290</v>
      </c>
      <c r="I495">
        <v>71</v>
      </c>
      <c r="J495" s="5">
        <v>7029</v>
      </c>
      <c r="K495" s="4">
        <v>1179</v>
      </c>
      <c r="L495" s="6">
        <v>45756</v>
      </c>
      <c r="M495" s="7">
        <f t="shared" si="21"/>
        <v>5.8919138561560343E-2</v>
      </c>
      <c r="N495" s="7">
        <f t="shared" si="22"/>
        <v>0.24482758620689654</v>
      </c>
      <c r="O495" s="7">
        <f t="shared" si="23"/>
        <v>4.9618320610687023</v>
      </c>
    </row>
    <row r="496" spans="1:15" x14ac:dyDescent="0.35">
      <c r="A496">
        <v>495</v>
      </c>
      <c r="B496">
        <v>46</v>
      </c>
      <c r="C496" t="s">
        <v>19</v>
      </c>
      <c r="D496" t="s">
        <v>23</v>
      </c>
      <c r="E496" t="s">
        <v>32</v>
      </c>
      <c r="F496" t="s">
        <v>22</v>
      </c>
      <c r="G496">
        <v>4196</v>
      </c>
      <c r="H496">
        <v>408</v>
      </c>
      <c r="I496">
        <v>21</v>
      </c>
      <c r="J496" s="5">
        <v>2604</v>
      </c>
      <c r="K496" s="4">
        <v>473</v>
      </c>
      <c r="L496" s="6">
        <v>45710</v>
      </c>
      <c r="M496" s="7">
        <f t="shared" si="21"/>
        <v>9.7235462345090562E-2</v>
      </c>
      <c r="N496" s="7">
        <f t="shared" si="22"/>
        <v>5.1470588235294115E-2</v>
      </c>
      <c r="O496" s="7">
        <f t="shared" si="23"/>
        <v>4.5052854122621566</v>
      </c>
    </row>
    <row r="497" spans="1:15" x14ac:dyDescent="0.35">
      <c r="A497">
        <v>496</v>
      </c>
      <c r="B497">
        <v>18</v>
      </c>
      <c r="C497" t="s">
        <v>19</v>
      </c>
      <c r="D497" t="s">
        <v>13</v>
      </c>
      <c r="E497" t="s">
        <v>21</v>
      </c>
      <c r="F497" t="s">
        <v>18</v>
      </c>
      <c r="G497">
        <v>3662</v>
      </c>
      <c r="H497">
        <v>131</v>
      </c>
      <c r="I497">
        <v>72</v>
      </c>
      <c r="J497" s="5">
        <v>13896</v>
      </c>
      <c r="K497" s="4">
        <v>1160</v>
      </c>
      <c r="L497" s="6">
        <v>45683</v>
      </c>
      <c r="M497" s="7">
        <f t="shared" si="21"/>
        <v>3.5772801747678863E-2</v>
      </c>
      <c r="N497" s="7">
        <f t="shared" si="22"/>
        <v>0.54961832061068705</v>
      </c>
      <c r="O497" s="7">
        <f t="shared" si="23"/>
        <v>10.979310344827587</v>
      </c>
    </row>
    <row r="498" spans="1:15" x14ac:dyDescent="0.35">
      <c r="A498">
        <v>497</v>
      </c>
      <c r="B498">
        <v>22</v>
      </c>
      <c r="C498" t="s">
        <v>19</v>
      </c>
      <c r="D498" t="s">
        <v>23</v>
      </c>
      <c r="E498" t="s">
        <v>21</v>
      </c>
      <c r="F498" t="s">
        <v>18</v>
      </c>
      <c r="G498">
        <v>4199</v>
      </c>
      <c r="H498">
        <v>392</v>
      </c>
      <c r="I498">
        <v>14</v>
      </c>
      <c r="J498" s="5">
        <v>2156</v>
      </c>
      <c r="K498" s="4">
        <v>514</v>
      </c>
      <c r="L498" s="6">
        <v>45722</v>
      </c>
      <c r="M498" s="7">
        <f t="shared" si="21"/>
        <v>9.3355560847820915E-2</v>
      </c>
      <c r="N498" s="7">
        <f t="shared" si="22"/>
        <v>3.5714285714285712E-2</v>
      </c>
      <c r="O498" s="7">
        <f t="shared" si="23"/>
        <v>3.1945525291828796</v>
      </c>
    </row>
    <row r="499" spans="1:15" x14ac:dyDescent="0.35">
      <c r="A499">
        <v>498</v>
      </c>
      <c r="B499">
        <v>22</v>
      </c>
      <c r="C499" t="s">
        <v>19</v>
      </c>
      <c r="D499" t="s">
        <v>20</v>
      </c>
      <c r="E499" t="s">
        <v>17</v>
      </c>
      <c r="F499" t="s">
        <v>29</v>
      </c>
      <c r="G499">
        <v>2901</v>
      </c>
      <c r="H499">
        <v>286</v>
      </c>
      <c r="I499">
        <v>45</v>
      </c>
      <c r="J499" s="5">
        <v>6615</v>
      </c>
      <c r="K499" s="4">
        <v>932</v>
      </c>
      <c r="L499" s="6">
        <v>45708</v>
      </c>
      <c r="M499" s="7">
        <f t="shared" si="21"/>
        <v>9.8586694243364359E-2</v>
      </c>
      <c r="N499" s="7">
        <f t="shared" si="22"/>
        <v>0.15734265734265734</v>
      </c>
      <c r="O499" s="7">
        <f t="shared" si="23"/>
        <v>6.0976394849785409</v>
      </c>
    </row>
    <row r="500" spans="1:15" x14ac:dyDescent="0.35">
      <c r="A500">
        <v>499</v>
      </c>
      <c r="B500">
        <v>24</v>
      </c>
      <c r="C500" t="s">
        <v>19</v>
      </c>
      <c r="D500" t="s">
        <v>20</v>
      </c>
      <c r="E500" t="s">
        <v>14</v>
      </c>
      <c r="F500" t="s">
        <v>29</v>
      </c>
      <c r="G500">
        <v>1160</v>
      </c>
      <c r="H500">
        <v>148</v>
      </c>
      <c r="I500">
        <v>30</v>
      </c>
      <c r="J500" s="5">
        <v>5640</v>
      </c>
      <c r="K500" s="4">
        <v>602</v>
      </c>
      <c r="L500" s="6">
        <v>45728</v>
      </c>
      <c r="M500" s="7">
        <f t="shared" si="21"/>
        <v>0.12758620689655173</v>
      </c>
      <c r="N500" s="7">
        <f t="shared" si="22"/>
        <v>0.20270270270270271</v>
      </c>
      <c r="O500" s="7">
        <f t="shared" si="23"/>
        <v>8.368770764119601</v>
      </c>
    </row>
    <row r="501" spans="1:15" x14ac:dyDescent="0.35">
      <c r="A501">
        <v>500</v>
      </c>
      <c r="B501">
        <v>46</v>
      </c>
      <c r="C501" t="s">
        <v>19</v>
      </c>
      <c r="D501" t="s">
        <v>23</v>
      </c>
      <c r="E501" t="s">
        <v>17</v>
      </c>
      <c r="F501" t="s">
        <v>29</v>
      </c>
      <c r="G501">
        <v>2679</v>
      </c>
      <c r="H501">
        <v>328</v>
      </c>
      <c r="I501">
        <v>19</v>
      </c>
      <c r="J501" s="5">
        <v>3705</v>
      </c>
      <c r="K501" s="4">
        <v>953</v>
      </c>
      <c r="L501" s="6">
        <v>45698</v>
      </c>
      <c r="M501" s="7">
        <f t="shared" si="21"/>
        <v>0.12243374393430384</v>
      </c>
      <c r="N501" s="7">
        <f t="shared" si="22"/>
        <v>5.7926829268292686E-2</v>
      </c>
      <c r="O501" s="7">
        <f t="shared" si="23"/>
        <v>2.8877229800629589</v>
      </c>
    </row>
    <row r="502" spans="1:15" x14ac:dyDescent="0.35">
      <c r="A502">
        <v>501</v>
      </c>
      <c r="B502">
        <v>44</v>
      </c>
      <c r="C502" t="s">
        <v>19</v>
      </c>
      <c r="D502" t="s">
        <v>26</v>
      </c>
      <c r="E502" t="s">
        <v>32</v>
      </c>
      <c r="F502" t="s">
        <v>18</v>
      </c>
      <c r="G502">
        <v>1891</v>
      </c>
      <c r="H502">
        <v>196</v>
      </c>
      <c r="I502">
        <v>50</v>
      </c>
      <c r="J502" s="5">
        <v>9450</v>
      </c>
      <c r="K502" s="4">
        <v>1123</v>
      </c>
      <c r="L502" s="6">
        <v>45672</v>
      </c>
      <c r="M502" s="7">
        <f t="shared" si="21"/>
        <v>0.10364886303543099</v>
      </c>
      <c r="N502" s="7">
        <f t="shared" si="22"/>
        <v>0.25510204081632654</v>
      </c>
      <c r="O502" s="7">
        <f t="shared" si="23"/>
        <v>7.4149599287622436</v>
      </c>
    </row>
    <row r="503" spans="1:15" x14ac:dyDescent="0.35">
      <c r="A503">
        <v>502</v>
      </c>
      <c r="B503">
        <v>41</v>
      </c>
      <c r="C503" t="s">
        <v>12</v>
      </c>
      <c r="D503" t="s">
        <v>16</v>
      </c>
      <c r="E503" t="s">
        <v>17</v>
      </c>
      <c r="F503" t="s">
        <v>18</v>
      </c>
      <c r="G503">
        <v>4566</v>
      </c>
      <c r="H503">
        <v>470</v>
      </c>
      <c r="I503">
        <v>5</v>
      </c>
      <c r="J503" s="5">
        <v>950</v>
      </c>
      <c r="K503" s="4">
        <v>906</v>
      </c>
      <c r="L503" s="6">
        <v>45720</v>
      </c>
      <c r="M503" s="7">
        <f t="shared" si="21"/>
        <v>0.1029347349978099</v>
      </c>
      <c r="N503" s="7">
        <f t="shared" si="22"/>
        <v>1.0638297872340425E-2</v>
      </c>
      <c r="O503" s="7">
        <f t="shared" si="23"/>
        <v>4.856512141280353E-2</v>
      </c>
    </row>
    <row r="504" spans="1:15" x14ac:dyDescent="0.35">
      <c r="A504">
        <v>503</v>
      </c>
      <c r="B504">
        <v>40</v>
      </c>
      <c r="C504" t="s">
        <v>12</v>
      </c>
      <c r="D504" t="s">
        <v>16</v>
      </c>
      <c r="E504" t="s">
        <v>25</v>
      </c>
      <c r="F504" t="s">
        <v>22</v>
      </c>
      <c r="G504">
        <v>4107</v>
      </c>
      <c r="H504">
        <v>73</v>
      </c>
      <c r="I504">
        <v>8</v>
      </c>
      <c r="J504" s="5">
        <v>1088</v>
      </c>
      <c r="K504" s="4">
        <v>489</v>
      </c>
      <c r="L504" s="6">
        <v>45777</v>
      </c>
      <c r="M504" s="7">
        <f t="shared" si="21"/>
        <v>1.7774531288044803E-2</v>
      </c>
      <c r="N504" s="7">
        <f t="shared" si="22"/>
        <v>0.1095890410958904</v>
      </c>
      <c r="O504" s="7">
        <f t="shared" si="23"/>
        <v>1.2249488752556237</v>
      </c>
    </row>
    <row r="505" spans="1:15" x14ac:dyDescent="0.35">
      <c r="A505">
        <v>504</v>
      </c>
      <c r="B505">
        <v>23</v>
      </c>
      <c r="C505" t="s">
        <v>19</v>
      </c>
      <c r="D505" t="s">
        <v>27</v>
      </c>
      <c r="E505" t="s">
        <v>25</v>
      </c>
      <c r="F505" t="s">
        <v>31</v>
      </c>
      <c r="G505">
        <v>778</v>
      </c>
      <c r="H505">
        <v>414</v>
      </c>
      <c r="I505">
        <v>73</v>
      </c>
      <c r="J505" s="5">
        <v>9636</v>
      </c>
      <c r="K505" s="4">
        <v>1062</v>
      </c>
      <c r="L505" s="6">
        <v>45714</v>
      </c>
      <c r="M505" s="7">
        <f t="shared" si="21"/>
        <v>0.53213367609254503</v>
      </c>
      <c r="N505" s="7">
        <f t="shared" si="22"/>
        <v>0.17632850241545894</v>
      </c>
      <c r="O505" s="7">
        <f t="shared" si="23"/>
        <v>8.0734463276836159</v>
      </c>
    </row>
    <row r="506" spans="1:15" x14ac:dyDescent="0.35">
      <c r="A506">
        <v>505</v>
      </c>
      <c r="B506">
        <v>38</v>
      </c>
      <c r="C506" t="s">
        <v>12</v>
      </c>
      <c r="D506" t="s">
        <v>13</v>
      </c>
      <c r="E506" t="s">
        <v>32</v>
      </c>
      <c r="F506" t="s">
        <v>15</v>
      </c>
      <c r="G506">
        <v>2173</v>
      </c>
      <c r="H506">
        <v>217</v>
      </c>
      <c r="I506">
        <v>11</v>
      </c>
      <c r="J506" s="5">
        <v>1287</v>
      </c>
      <c r="K506" s="4">
        <v>1838</v>
      </c>
      <c r="L506" s="6">
        <v>45660</v>
      </c>
      <c r="M506" s="7">
        <f t="shared" si="21"/>
        <v>9.9861942015646576E-2</v>
      </c>
      <c r="N506" s="7">
        <f t="shared" si="22"/>
        <v>5.0691244239631339E-2</v>
      </c>
      <c r="O506" s="7">
        <f t="shared" si="23"/>
        <v>-0.2997823721436344</v>
      </c>
    </row>
    <row r="507" spans="1:15" x14ac:dyDescent="0.35">
      <c r="A507">
        <v>506</v>
      </c>
      <c r="B507">
        <v>53</v>
      </c>
      <c r="C507" t="s">
        <v>19</v>
      </c>
      <c r="D507" t="s">
        <v>26</v>
      </c>
      <c r="E507" t="s">
        <v>30</v>
      </c>
      <c r="F507" t="s">
        <v>18</v>
      </c>
      <c r="G507">
        <v>883</v>
      </c>
      <c r="H507">
        <v>228</v>
      </c>
      <c r="I507">
        <v>51</v>
      </c>
      <c r="J507" s="5">
        <v>5967</v>
      </c>
      <c r="K507" s="4">
        <v>1043</v>
      </c>
      <c r="L507" s="6">
        <v>45726</v>
      </c>
      <c r="M507" s="7">
        <f t="shared" si="21"/>
        <v>0.25821064552661382</v>
      </c>
      <c r="N507" s="7">
        <f t="shared" si="22"/>
        <v>0.22368421052631579</v>
      </c>
      <c r="O507" s="7">
        <f t="shared" si="23"/>
        <v>4.7209971236816877</v>
      </c>
    </row>
    <row r="508" spans="1:15" x14ac:dyDescent="0.35">
      <c r="A508">
        <v>507</v>
      </c>
      <c r="B508">
        <v>54</v>
      </c>
      <c r="C508" t="s">
        <v>12</v>
      </c>
      <c r="D508" t="s">
        <v>13</v>
      </c>
      <c r="E508" t="s">
        <v>30</v>
      </c>
      <c r="F508" t="s">
        <v>22</v>
      </c>
      <c r="G508">
        <v>3914</v>
      </c>
      <c r="H508">
        <v>363</v>
      </c>
      <c r="I508">
        <v>54</v>
      </c>
      <c r="J508" s="5">
        <v>7614</v>
      </c>
      <c r="K508" s="4">
        <v>1765</v>
      </c>
      <c r="L508" s="6">
        <v>45769</v>
      </c>
      <c r="M508" s="7">
        <f t="shared" si="21"/>
        <v>9.2743995912110369E-2</v>
      </c>
      <c r="N508" s="7">
        <f t="shared" si="22"/>
        <v>0.1487603305785124</v>
      </c>
      <c r="O508" s="7">
        <f t="shared" si="23"/>
        <v>3.3138810198300281</v>
      </c>
    </row>
    <row r="509" spans="1:15" x14ac:dyDescent="0.35">
      <c r="A509">
        <v>508</v>
      </c>
      <c r="B509">
        <v>33</v>
      </c>
      <c r="C509" t="s">
        <v>19</v>
      </c>
      <c r="D509" t="s">
        <v>13</v>
      </c>
      <c r="E509" t="s">
        <v>17</v>
      </c>
      <c r="F509" t="s">
        <v>22</v>
      </c>
      <c r="G509">
        <v>705</v>
      </c>
      <c r="H509">
        <v>234</v>
      </c>
      <c r="I509">
        <v>51</v>
      </c>
      <c r="J509" s="5">
        <v>6018</v>
      </c>
      <c r="K509" s="4">
        <v>1963</v>
      </c>
      <c r="L509" s="6">
        <v>45679</v>
      </c>
      <c r="M509" s="7">
        <f t="shared" si="21"/>
        <v>0.33191489361702126</v>
      </c>
      <c r="N509" s="7">
        <f t="shared" si="22"/>
        <v>0.21794871794871795</v>
      </c>
      <c r="O509" s="7">
        <f t="shared" si="23"/>
        <v>2.0657157412124301</v>
      </c>
    </row>
    <row r="510" spans="1:15" x14ac:dyDescent="0.35">
      <c r="A510">
        <v>509</v>
      </c>
      <c r="B510">
        <v>48</v>
      </c>
      <c r="C510" t="s">
        <v>19</v>
      </c>
      <c r="D510" t="s">
        <v>16</v>
      </c>
      <c r="E510" t="s">
        <v>21</v>
      </c>
      <c r="F510" t="s">
        <v>18</v>
      </c>
      <c r="G510">
        <v>4808</v>
      </c>
      <c r="H510">
        <v>359</v>
      </c>
      <c r="I510">
        <v>25</v>
      </c>
      <c r="J510" s="5">
        <v>2375</v>
      </c>
      <c r="K510" s="4">
        <v>952</v>
      </c>
      <c r="L510" s="6">
        <v>45731</v>
      </c>
      <c r="M510" s="7">
        <f t="shared" si="21"/>
        <v>7.4667221297836942E-2</v>
      </c>
      <c r="N510" s="7">
        <f t="shared" si="22"/>
        <v>6.9637883008356549E-2</v>
      </c>
      <c r="O510" s="7">
        <f t="shared" si="23"/>
        <v>1.4947478991596639</v>
      </c>
    </row>
    <row r="511" spans="1:15" x14ac:dyDescent="0.35">
      <c r="A511">
        <v>510</v>
      </c>
      <c r="B511">
        <v>39</v>
      </c>
      <c r="C511" t="s">
        <v>12</v>
      </c>
      <c r="D511" t="s">
        <v>26</v>
      </c>
      <c r="E511" t="s">
        <v>30</v>
      </c>
      <c r="F511" t="s">
        <v>18</v>
      </c>
      <c r="G511">
        <v>4849</v>
      </c>
      <c r="H511">
        <v>58</v>
      </c>
      <c r="I511">
        <v>15</v>
      </c>
      <c r="J511" s="5">
        <v>1335</v>
      </c>
      <c r="K511" s="4">
        <v>1703</v>
      </c>
      <c r="L511" s="6">
        <v>45674</v>
      </c>
      <c r="M511" s="7">
        <f t="shared" si="21"/>
        <v>1.1961229119406063E-2</v>
      </c>
      <c r="N511" s="7">
        <f t="shared" si="22"/>
        <v>0.25862068965517243</v>
      </c>
      <c r="O511" s="7">
        <f t="shared" si="23"/>
        <v>-0.21608925425719319</v>
      </c>
    </row>
    <row r="512" spans="1:15" x14ac:dyDescent="0.35">
      <c r="A512">
        <v>511</v>
      </c>
      <c r="B512">
        <v>38</v>
      </c>
      <c r="C512" t="s">
        <v>12</v>
      </c>
      <c r="D512" t="s">
        <v>26</v>
      </c>
      <c r="E512" t="s">
        <v>25</v>
      </c>
      <c r="F512" t="s">
        <v>18</v>
      </c>
      <c r="G512">
        <v>4407</v>
      </c>
      <c r="H512">
        <v>97</v>
      </c>
      <c r="I512">
        <v>56</v>
      </c>
      <c r="J512" s="5">
        <v>5824</v>
      </c>
      <c r="K512" s="4">
        <v>1334</v>
      </c>
      <c r="L512" s="6">
        <v>45759</v>
      </c>
      <c r="M512" s="7">
        <f t="shared" si="21"/>
        <v>2.201043793964148E-2</v>
      </c>
      <c r="N512" s="7">
        <f t="shared" si="22"/>
        <v>0.57731958762886593</v>
      </c>
      <c r="O512" s="7">
        <f t="shared" si="23"/>
        <v>3.3658170914542729</v>
      </c>
    </row>
    <row r="513" spans="1:15" x14ac:dyDescent="0.35">
      <c r="A513">
        <v>512</v>
      </c>
      <c r="B513">
        <v>53</v>
      </c>
      <c r="C513" t="s">
        <v>19</v>
      </c>
      <c r="D513" t="s">
        <v>23</v>
      </c>
      <c r="E513" t="s">
        <v>34</v>
      </c>
      <c r="F513" t="s">
        <v>15</v>
      </c>
      <c r="G513">
        <v>3300</v>
      </c>
      <c r="H513">
        <v>370</v>
      </c>
      <c r="I513">
        <v>67</v>
      </c>
      <c r="J513" s="5">
        <v>8710</v>
      </c>
      <c r="K513" s="4">
        <v>1952</v>
      </c>
      <c r="L513" s="6">
        <v>45762</v>
      </c>
      <c r="M513" s="7">
        <f t="shared" si="21"/>
        <v>0.11212121212121212</v>
      </c>
      <c r="N513" s="7">
        <f t="shared" si="22"/>
        <v>0.18108108108108109</v>
      </c>
      <c r="O513" s="7">
        <f t="shared" si="23"/>
        <v>3.4620901639344264</v>
      </c>
    </row>
    <row r="514" spans="1:15" x14ac:dyDescent="0.35">
      <c r="A514">
        <v>513</v>
      </c>
      <c r="B514">
        <v>40</v>
      </c>
      <c r="C514" t="s">
        <v>12</v>
      </c>
      <c r="D514" t="s">
        <v>20</v>
      </c>
      <c r="E514" t="s">
        <v>21</v>
      </c>
      <c r="F514" t="s">
        <v>31</v>
      </c>
      <c r="G514">
        <v>4699</v>
      </c>
      <c r="H514">
        <v>320</v>
      </c>
      <c r="I514">
        <v>43</v>
      </c>
      <c r="J514" s="5">
        <v>3440</v>
      </c>
      <c r="K514" s="4">
        <v>1421</v>
      </c>
      <c r="L514" s="6">
        <v>45696</v>
      </c>
      <c r="M514" s="7">
        <f t="shared" si="21"/>
        <v>6.8099595658650772E-2</v>
      </c>
      <c r="N514" s="7">
        <f t="shared" si="22"/>
        <v>0.13437499999999999</v>
      </c>
      <c r="O514" s="7">
        <f t="shared" si="23"/>
        <v>1.4208304011259676</v>
      </c>
    </row>
    <row r="515" spans="1:15" x14ac:dyDescent="0.35">
      <c r="A515">
        <v>514</v>
      </c>
      <c r="B515">
        <v>46</v>
      </c>
      <c r="C515" t="s">
        <v>19</v>
      </c>
      <c r="D515" t="s">
        <v>13</v>
      </c>
      <c r="E515" t="s">
        <v>30</v>
      </c>
      <c r="F515" t="s">
        <v>31</v>
      </c>
      <c r="G515">
        <v>1008</v>
      </c>
      <c r="H515">
        <v>175</v>
      </c>
      <c r="I515">
        <v>61</v>
      </c>
      <c r="J515" s="5">
        <v>6893</v>
      </c>
      <c r="K515" s="4">
        <v>1816</v>
      </c>
      <c r="L515" s="6">
        <v>45670</v>
      </c>
      <c r="M515" s="7">
        <f t="shared" ref="M515:M578" si="24">H515/G515</f>
        <v>0.1736111111111111</v>
      </c>
      <c r="N515" s="7">
        <f t="shared" ref="N515:N578" si="25">I515/H515</f>
        <v>0.34857142857142859</v>
      </c>
      <c r="O515" s="7">
        <f t="shared" ref="O515:O578" si="26">(J515-K515)/K515</f>
        <v>2.7957048458149778</v>
      </c>
    </row>
    <row r="516" spans="1:15" x14ac:dyDescent="0.35">
      <c r="A516">
        <v>515</v>
      </c>
      <c r="B516">
        <v>34</v>
      </c>
      <c r="C516" t="s">
        <v>19</v>
      </c>
      <c r="D516" t="s">
        <v>20</v>
      </c>
      <c r="E516" t="s">
        <v>34</v>
      </c>
      <c r="F516" t="s">
        <v>18</v>
      </c>
      <c r="G516">
        <v>4857</v>
      </c>
      <c r="H516">
        <v>389</v>
      </c>
      <c r="I516">
        <v>56</v>
      </c>
      <c r="J516" s="5">
        <v>4592</v>
      </c>
      <c r="K516" s="4">
        <v>444</v>
      </c>
      <c r="L516" s="6">
        <v>45733</v>
      </c>
      <c r="M516" s="7">
        <f t="shared" si="24"/>
        <v>8.0090590899732347E-2</v>
      </c>
      <c r="N516" s="7">
        <f t="shared" si="25"/>
        <v>0.14395886889460155</v>
      </c>
      <c r="O516" s="7">
        <f t="shared" si="26"/>
        <v>9.3423423423423415</v>
      </c>
    </row>
    <row r="517" spans="1:15" x14ac:dyDescent="0.35">
      <c r="A517">
        <v>516</v>
      </c>
      <c r="B517">
        <v>34</v>
      </c>
      <c r="C517" t="s">
        <v>12</v>
      </c>
      <c r="D517" t="s">
        <v>23</v>
      </c>
      <c r="E517" t="s">
        <v>24</v>
      </c>
      <c r="F517" t="s">
        <v>22</v>
      </c>
      <c r="G517">
        <v>2403</v>
      </c>
      <c r="H517">
        <v>224</v>
      </c>
      <c r="I517">
        <v>59</v>
      </c>
      <c r="J517" s="5">
        <v>8496</v>
      </c>
      <c r="K517" s="4">
        <v>391</v>
      </c>
      <c r="L517" s="6">
        <v>45747</v>
      </c>
      <c r="M517" s="7">
        <f t="shared" si="24"/>
        <v>9.321681231793591E-2</v>
      </c>
      <c r="N517" s="7">
        <f t="shared" si="25"/>
        <v>0.26339285714285715</v>
      </c>
      <c r="O517" s="7">
        <f t="shared" si="26"/>
        <v>20.728900255754475</v>
      </c>
    </row>
    <row r="518" spans="1:15" x14ac:dyDescent="0.35">
      <c r="A518">
        <v>517</v>
      </c>
      <c r="B518">
        <v>35</v>
      </c>
      <c r="C518" t="s">
        <v>19</v>
      </c>
      <c r="D518" t="s">
        <v>16</v>
      </c>
      <c r="E518" t="s">
        <v>34</v>
      </c>
      <c r="F518" t="s">
        <v>18</v>
      </c>
      <c r="G518">
        <v>4354</v>
      </c>
      <c r="H518">
        <v>149</v>
      </c>
      <c r="I518">
        <v>36</v>
      </c>
      <c r="J518" s="5">
        <v>5292</v>
      </c>
      <c r="K518" s="4">
        <v>1063</v>
      </c>
      <c r="L518" s="6">
        <v>45740</v>
      </c>
      <c r="M518" s="7">
        <f t="shared" si="24"/>
        <v>3.4221405604042257E-2</v>
      </c>
      <c r="N518" s="7">
        <f t="shared" si="25"/>
        <v>0.24161073825503357</v>
      </c>
      <c r="O518" s="7">
        <f t="shared" si="26"/>
        <v>3.9783631232361243</v>
      </c>
    </row>
    <row r="519" spans="1:15" x14ac:dyDescent="0.35">
      <c r="A519">
        <v>518</v>
      </c>
      <c r="B519">
        <v>50</v>
      </c>
      <c r="C519" t="s">
        <v>12</v>
      </c>
      <c r="D519" t="s">
        <v>16</v>
      </c>
      <c r="E519" t="s">
        <v>33</v>
      </c>
      <c r="F519" t="s">
        <v>29</v>
      </c>
      <c r="G519">
        <v>542</v>
      </c>
      <c r="H519">
        <v>421</v>
      </c>
      <c r="I519">
        <v>39</v>
      </c>
      <c r="J519" s="5">
        <v>6123</v>
      </c>
      <c r="K519" s="4">
        <v>687</v>
      </c>
      <c r="L519" s="6">
        <v>45718</v>
      </c>
      <c r="M519" s="7">
        <f t="shared" si="24"/>
        <v>0.7767527675276753</v>
      </c>
      <c r="N519" s="7">
        <f t="shared" si="25"/>
        <v>9.2636579572446559E-2</v>
      </c>
      <c r="O519" s="7">
        <f t="shared" si="26"/>
        <v>7.9126637554585155</v>
      </c>
    </row>
    <row r="520" spans="1:15" x14ac:dyDescent="0.35">
      <c r="A520">
        <v>519</v>
      </c>
      <c r="B520">
        <v>36</v>
      </c>
      <c r="C520" t="s">
        <v>19</v>
      </c>
      <c r="D520" t="s">
        <v>13</v>
      </c>
      <c r="E520" t="s">
        <v>25</v>
      </c>
      <c r="F520" t="s">
        <v>31</v>
      </c>
      <c r="G520">
        <v>3886</v>
      </c>
      <c r="H520">
        <v>462</v>
      </c>
      <c r="I520">
        <v>10</v>
      </c>
      <c r="J520" s="5">
        <v>1760</v>
      </c>
      <c r="K520" s="4">
        <v>1088</v>
      </c>
      <c r="L520" s="6">
        <v>45722</v>
      </c>
      <c r="M520" s="7">
        <f t="shared" si="24"/>
        <v>0.1188883170355121</v>
      </c>
      <c r="N520" s="7">
        <f t="shared" si="25"/>
        <v>2.1645021645021644E-2</v>
      </c>
      <c r="O520" s="7">
        <f t="shared" si="26"/>
        <v>0.61764705882352944</v>
      </c>
    </row>
    <row r="521" spans="1:15" x14ac:dyDescent="0.35">
      <c r="A521">
        <v>520</v>
      </c>
      <c r="B521">
        <v>52</v>
      </c>
      <c r="C521" t="s">
        <v>12</v>
      </c>
      <c r="D521" t="s">
        <v>26</v>
      </c>
      <c r="E521" t="s">
        <v>24</v>
      </c>
      <c r="F521" t="s">
        <v>29</v>
      </c>
      <c r="G521">
        <v>1976</v>
      </c>
      <c r="H521">
        <v>332</v>
      </c>
      <c r="I521">
        <v>10</v>
      </c>
      <c r="J521" s="5">
        <v>920</v>
      </c>
      <c r="K521" s="4">
        <v>1199</v>
      </c>
      <c r="L521" s="6">
        <v>45733</v>
      </c>
      <c r="M521" s="7">
        <f t="shared" si="24"/>
        <v>0.16801619433198381</v>
      </c>
      <c r="N521" s="7">
        <f t="shared" si="25"/>
        <v>3.0120481927710843E-2</v>
      </c>
      <c r="O521" s="7">
        <f t="shared" si="26"/>
        <v>-0.23269391159299416</v>
      </c>
    </row>
    <row r="522" spans="1:15" x14ac:dyDescent="0.35">
      <c r="A522">
        <v>521</v>
      </c>
      <c r="B522">
        <v>37</v>
      </c>
      <c r="C522" t="s">
        <v>19</v>
      </c>
      <c r="D522" t="s">
        <v>20</v>
      </c>
      <c r="E522" t="s">
        <v>32</v>
      </c>
      <c r="F522" t="s">
        <v>29</v>
      </c>
      <c r="G522">
        <v>4163</v>
      </c>
      <c r="H522">
        <v>428</v>
      </c>
      <c r="I522">
        <v>47</v>
      </c>
      <c r="J522" s="5">
        <v>7896</v>
      </c>
      <c r="K522" s="4">
        <v>1681</v>
      </c>
      <c r="L522" s="6">
        <v>45701</v>
      </c>
      <c r="M522" s="7">
        <f t="shared" si="24"/>
        <v>0.10281047321643046</v>
      </c>
      <c r="N522" s="7">
        <f t="shared" si="25"/>
        <v>0.10981308411214953</v>
      </c>
      <c r="O522" s="7">
        <f t="shared" si="26"/>
        <v>3.6972040452111838</v>
      </c>
    </row>
    <row r="523" spans="1:15" x14ac:dyDescent="0.35">
      <c r="A523">
        <v>522</v>
      </c>
      <c r="B523">
        <v>54</v>
      </c>
      <c r="C523" t="s">
        <v>12</v>
      </c>
      <c r="D523" t="s">
        <v>27</v>
      </c>
      <c r="E523" t="s">
        <v>17</v>
      </c>
      <c r="F523" t="s">
        <v>22</v>
      </c>
      <c r="G523">
        <v>3722</v>
      </c>
      <c r="H523">
        <v>51</v>
      </c>
      <c r="I523">
        <v>26</v>
      </c>
      <c r="J523" s="5">
        <v>3536</v>
      </c>
      <c r="K523" s="4">
        <v>1082</v>
      </c>
      <c r="L523" s="6">
        <v>45664</v>
      </c>
      <c r="M523" s="7">
        <f t="shared" si="24"/>
        <v>1.3702310585706609E-2</v>
      </c>
      <c r="N523" s="7">
        <f t="shared" si="25"/>
        <v>0.50980392156862742</v>
      </c>
      <c r="O523" s="7">
        <f t="shared" si="26"/>
        <v>2.2680221811460259</v>
      </c>
    </row>
    <row r="524" spans="1:15" x14ac:dyDescent="0.35">
      <c r="A524">
        <v>523</v>
      </c>
      <c r="B524">
        <v>36</v>
      </c>
      <c r="C524" t="s">
        <v>12</v>
      </c>
      <c r="D524" t="s">
        <v>23</v>
      </c>
      <c r="E524" t="s">
        <v>24</v>
      </c>
      <c r="F524" t="s">
        <v>22</v>
      </c>
      <c r="G524">
        <v>3777</v>
      </c>
      <c r="H524">
        <v>489</v>
      </c>
      <c r="I524">
        <v>71</v>
      </c>
      <c r="J524" s="5">
        <v>6745</v>
      </c>
      <c r="K524" s="4">
        <v>1849</v>
      </c>
      <c r="L524" s="6">
        <v>45739</v>
      </c>
      <c r="M524" s="7">
        <f t="shared" si="24"/>
        <v>0.12946783161239078</v>
      </c>
      <c r="N524" s="7">
        <f t="shared" si="25"/>
        <v>0.14519427402862986</v>
      </c>
      <c r="O524" s="7">
        <f t="shared" si="26"/>
        <v>2.647917793401839</v>
      </c>
    </row>
    <row r="525" spans="1:15" x14ac:dyDescent="0.35">
      <c r="A525">
        <v>524</v>
      </c>
      <c r="B525">
        <v>44</v>
      </c>
      <c r="C525" t="s">
        <v>12</v>
      </c>
      <c r="D525" t="s">
        <v>16</v>
      </c>
      <c r="E525" t="s">
        <v>34</v>
      </c>
      <c r="F525" t="s">
        <v>31</v>
      </c>
      <c r="G525">
        <v>612</v>
      </c>
      <c r="H525">
        <v>61</v>
      </c>
      <c r="I525">
        <v>57</v>
      </c>
      <c r="J525" s="5">
        <v>4788</v>
      </c>
      <c r="K525" s="4">
        <v>530</v>
      </c>
      <c r="L525" s="6">
        <v>45663</v>
      </c>
      <c r="M525" s="7">
        <f t="shared" si="24"/>
        <v>9.9673202614379092E-2</v>
      </c>
      <c r="N525" s="7">
        <f t="shared" si="25"/>
        <v>0.93442622950819676</v>
      </c>
      <c r="O525" s="7">
        <f t="shared" si="26"/>
        <v>8.0339622641509436</v>
      </c>
    </row>
    <row r="526" spans="1:15" x14ac:dyDescent="0.35">
      <c r="A526">
        <v>525</v>
      </c>
      <c r="B526">
        <v>50</v>
      </c>
      <c r="C526" t="s">
        <v>19</v>
      </c>
      <c r="D526" t="s">
        <v>23</v>
      </c>
      <c r="E526" t="s">
        <v>33</v>
      </c>
      <c r="F526" t="s">
        <v>29</v>
      </c>
      <c r="G526">
        <v>3668</v>
      </c>
      <c r="H526">
        <v>54</v>
      </c>
      <c r="I526">
        <v>61</v>
      </c>
      <c r="J526" s="5">
        <v>9028</v>
      </c>
      <c r="K526" s="4">
        <v>1045</v>
      </c>
      <c r="L526" s="6">
        <v>45769</v>
      </c>
      <c r="M526" s="7">
        <f t="shared" si="24"/>
        <v>1.4721919302071973E-2</v>
      </c>
      <c r="N526" s="7">
        <f t="shared" si="25"/>
        <v>1.1296296296296295</v>
      </c>
      <c r="O526" s="7">
        <f t="shared" si="26"/>
        <v>7.6392344497607656</v>
      </c>
    </row>
    <row r="527" spans="1:15" x14ac:dyDescent="0.35">
      <c r="A527">
        <v>526</v>
      </c>
      <c r="B527">
        <v>21</v>
      </c>
      <c r="C527" t="s">
        <v>12</v>
      </c>
      <c r="D527" t="s">
        <v>26</v>
      </c>
      <c r="E527" t="s">
        <v>34</v>
      </c>
      <c r="F527" t="s">
        <v>29</v>
      </c>
      <c r="G527">
        <v>4060</v>
      </c>
      <c r="H527">
        <v>68</v>
      </c>
      <c r="I527">
        <v>73</v>
      </c>
      <c r="J527" s="5">
        <v>12629</v>
      </c>
      <c r="K527" s="4">
        <v>1673</v>
      </c>
      <c r="L527" s="6">
        <v>45670</v>
      </c>
      <c r="M527" s="7">
        <f t="shared" si="24"/>
        <v>1.6748768472906402E-2</v>
      </c>
      <c r="N527" s="7">
        <f t="shared" si="25"/>
        <v>1.0735294117647058</v>
      </c>
      <c r="O527" s="7">
        <f t="shared" si="26"/>
        <v>6.5487148834429165</v>
      </c>
    </row>
    <row r="528" spans="1:15" x14ac:dyDescent="0.35">
      <c r="A528">
        <v>527</v>
      </c>
      <c r="B528">
        <v>46</v>
      </c>
      <c r="C528" t="s">
        <v>12</v>
      </c>
      <c r="D528" t="s">
        <v>16</v>
      </c>
      <c r="E528" t="s">
        <v>17</v>
      </c>
      <c r="F528" t="s">
        <v>18</v>
      </c>
      <c r="G528">
        <v>4265</v>
      </c>
      <c r="H528">
        <v>440</v>
      </c>
      <c r="I528">
        <v>18</v>
      </c>
      <c r="J528" s="5">
        <v>1764</v>
      </c>
      <c r="K528" s="4">
        <v>414</v>
      </c>
      <c r="L528" s="6">
        <v>45677</v>
      </c>
      <c r="M528" s="7">
        <f t="shared" si="24"/>
        <v>0.10316529894490035</v>
      </c>
      <c r="N528" s="7">
        <f t="shared" si="25"/>
        <v>4.0909090909090909E-2</v>
      </c>
      <c r="O528" s="7">
        <f t="shared" si="26"/>
        <v>3.2608695652173911</v>
      </c>
    </row>
    <row r="529" spans="1:15" x14ac:dyDescent="0.35">
      <c r="A529">
        <v>528</v>
      </c>
      <c r="B529">
        <v>46</v>
      </c>
      <c r="C529" t="s">
        <v>12</v>
      </c>
      <c r="D529" t="s">
        <v>16</v>
      </c>
      <c r="E529" t="s">
        <v>21</v>
      </c>
      <c r="F529" t="s">
        <v>18</v>
      </c>
      <c r="G529">
        <v>3261</v>
      </c>
      <c r="H529">
        <v>410</v>
      </c>
      <c r="I529">
        <v>61</v>
      </c>
      <c r="J529" s="5">
        <v>10309</v>
      </c>
      <c r="K529" s="4">
        <v>1615</v>
      </c>
      <c r="L529" s="6">
        <v>45674</v>
      </c>
      <c r="M529" s="7">
        <f t="shared" si="24"/>
        <v>0.12572830420116529</v>
      </c>
      <c r="N529" s="7">
        <f t="shared" si="25"/>
        <v>0.14878048780487804</v>
      </c>
      <c r="O529" s="7">
        <f t="shared" si="26"/>
        <v>5.3832817337461298</v>
      </c>
    </row>
    <row r="530" spans="1:15" x14ac:dyDescent="0.35">
      <c r="A530">
        <v>529</v>
      </c>
      <c r="B530">
        <v>22</v>
      </c>
      <c r="C530" t="s">
        <v>19</v>
      </c>
      <c r="D530" t="s">
        <v>13</v>
      </c>
      <c r="E530" t="s">
        <v>33</v>
      </c>
      <c r="F530" t="s">
        <v>15</v>
      </c>
      <c r="G530">
        <v>2869</v>
      </c>
      <c r="H530">
        <v>55</v>
      </c>
      <c r="I530">
        <v>62</v>
      </c>
      <c r="J530" s="5">
        <v>6634</v>
      </c>
      <c r="K530" s="4">
        <v>1548</v>
      </c>
      <c r="L530" s="6">
        <v>45747</v>
      </c>
      <c r="M530" s="7">
        <f t="shared" si="24"/>
        <v>1.9170442662948761E-2</v>
      </c>
      <c r="N530" s="7">
        <f t="shared" si="25"/>
        <v>1.1272727272727272</v>
      </c>
      <c r="O530" s="7">
        <f t="shared" si="26"/>
        <v>3.2855297157622738</v>
      </c>
    </row>
    <row r="531" spans="1:15" x14ac:dyDescent="0.35">
      <c r="A531">
        <v>530</v>
      </c>
      <c r="B531">
        <v>27</v>
      </c>
      <c r="C531" t="s">
        <v>12</v>
      </c>
      <c r="D531" t="s">
        <v>20</v>
      </c>
      <c r="E531" t="s">
        <v>33</v>
      </c>
      <c r="F531" t="s">
        <v>18</v>
      </c>
      <c r="G531">
        <v>4302</v>
      </c>
      <c r="H531">
        <v>226</v>
      </c>
      <c r="I531">
        <v>75</v>
      </c>
      <c r="J531" s="5">
        <v>6150</v>
      </c>
      <c r="K531" s="4">
        <v>1218</v>
      </c>
      <c r="L531" s="6">
        <v>45746</v>
      </c>
      <c r="M531" s="7">
        <f t="shared" si="24"/>
        <v>5.2533705253370526E-2</v>
      </c>
      <c r="N531" s="7">
        <f t="shared" si="25"/>
        <v>0.33185840707964603</v>
      </c>
      <c r="O531" s="7">
        <f t="shared" si="26"/>
        <v>4.0492610837438425</v>
      </c>
    </row>
    <row r="532" spans="1:15" x14ac:dyDescent="0.35">
      <c r="A532">
        <v>531</v>
      </c>
      <c r="B532">
        <v>39</v>
      </c>
      <c r="C532" t="s">
        <v>19</v>
      </c>
      <c r="D532" t="s">
        <v>20</v>
      </c>
      <c r="E532" t="s">
        <v>21</v>
      </c>
      <c r="F532" t="s">
        <v>29</v>
      </c>
      <c r="G532">
        <v>707</v>
      </c>
      <c r="H532">
        <v>51</v>
      </c>
      <c r="I532">
        <v>28</v>
      </c>
      <c r="J532" s="5">
        <v>3276</v>
      </c>
      <c r="K532" s="4">
        <v>785</v>
      </c>
      <c r="L532" s="6">
        <v>45700</v>
      </c>
      <c r="M532" s="7">
        <f t="shared" si="24"/>
        <v>7.2135785007072142E-2</v>
      </c>
      <c r="N532" s="7">
        <f t="shared" si="25"/>
        <v>0.5490196078431373</v>
      </c>
      <c r="O532" s="7">
        <f t="shared" si="26"/>
        <v>3.1732484076433121</v>
      </c>
    </row>
    <row r="533" spans="1:15" x14ac:dyDescent="0.35">
      <c r="A533">
        <v>532</v>
      </c>
      <c r="B533">
        <v>37</v>
      </c>
      <c r="C533" t="s">
        <v>12</v>
      </c>
      <c r="D533" t="s">
        <v>13</v>
      </c>
      <c r="E533" t="s">
        <v>30</v>
      </c>
      <c r="F533" t="s">
        <v>31</v>
      </c>
      <c r="G533">
        <v>3866</v>
      </c>
      <c r="H533">
        <v>268</v>
      </c>
      <c r="I533">
        <v>33</v>
      </c>
      <c r="J533" s="5">
        <v>5973</v>
      </c>
      <c r="K533" s="4">
        <v>1718</v>
      </c>
      <c r="L533" s="6">
        <v>45711</v>
      </c>
      <c r="M533" s="7">
        <f t="shared" si="24"/>
        <v>6.9322296947749606E-2</v>
      </c>
      <c r="N533" s="7">
        <f t="shared" si="25"/>
        <v>0.12313432835820895</v>
      </c>
      <c r="O533" s="7">
        <f t="shared" si="26"/>
        <v>2.4767171129220023</v>
      </c>
    </row>
    <row r="534" spans="1:15" x14ac:dyDescent="0.35">
      <c r="A534">
        <v>533</v>
      </c>
      <c r="B534">
        <v>19</v>
      </c>
      <c r="C534" t="s">
        <v>12</v>
      </c>
      <c r="D534" t="s">
        <v>13</v>
      </c>
      <c r="E534" t="s">
        <v>25</v>
      </c>
      <c r="F534" t="s">
        <v>31</v>
      </c>
      <c r="G534">
        <v>2695</v>
      </c>
      <c r="H534">
        <v>157</v>
      </c>
      <c r="I534">
        <v>23</v>
      </c>
      <c r="J534" s="5">
        <v>4094</v>
      </c>
      <c r="K534" s="4">
        <v>795</v>
      </c>
      <c r="L534" s="6">
        <v>45691</v>
      </c>
      <c r="M534" s="7">
        <f t="shared" si="24"/>
        <v>5.8256029684601113E-2</v>
      </c>
      <c r="N534" s="7">
        <f t="shared" si="25"/>
        <v>0.1464968152866242</v>
      </c>
      <c r="O534" s="7">
        <f t="shared" si="26"/>
        <v>4.1496855345911952</v>
      </c>
    </row>
    <row r="535" spans="1:15" x14ac:dyDescent="0.35">
      <c r="A535">
        <v>534</v>
      </c>
      <c r="B535">
        <v>49</v>
      </c>
      <c r="C535" t="s">
        <v>19</v>
      </c>
      <c r="D535" t="s">
        <v>26</v>
      </c>
      <c r="E535" t="s">
        <v>28</v>
      </c>
      <c r="F535" t="s">
        <v>15</v>
      </c>
      <c r="G535">
        <v>2242</v>
      </c>
      <c r="H535">
        <v>332</v>
      </c>
      <c r="I535">
        <v>14</v>
      </c>
      <c r="J535" s="5">
        <v>2464</v>
      </c>
      <c r="K535" s="4">
        <v>272</v>
      </c>
      <c r="L535" s="6">
        <v>45762</v>
      </c>
      <c r="M535" s="7">
        <f t="shared" si="24"/>
        <v>0.1480820695807315</v>
      </c>
      <c r="N535" s="7">
        <f t="shared" si="25"/>
        <v>4.2168674698795178E-2</v>
      </c>
      <c r="O535" s="7">
        <f t="shared" si="26"/>
        <v>8.0588235294117645</v>
      </c>
    </row>
    <row r="536" spans="1:15" x14ac:dyDescent="0.35">
      <c r="A536">
        <v>535</v>
      </c>
      <c r="B536">
        <v>18</v>
      </c>
      <c r="C536" t="s">
        <v>19</v>
      </c>
      <c r="D536" t="s">
        <v>16</v>
      </c>
      <c r="E536" t="s">
        <v>24</v>
      </c>
      <c r="F536" t="s">
        <v>22</v>
      </c>
      <c r="G536">
        <v>4695</v>
      </c>
      <c r="H536">
        <v>108</v>
      </c>
      <c r="I536">
        <v>6</v>
      </c>
      <c r="J536" s="5">
        <v>882</v>
      </c>
      <c r="K536" s="4">
        <v>612</v>
      </c>
      <c r="L536" s="6">
        <v>45683</v>
      </c>
      <c r="M536" s="7">
        <f t="shared" si="24"/>
        <v>2.3003194888178913E-2</v>
      </c>
      <c r="N536" s="7">
        <f t="shared" si="25"/>
        <v>5.5555555555555552E-2</v>
      </c>
      <c r="O536" s="7">
        <f t="shared" si="26"/>
        <v>0.44117647058823528</v>
      </c>
    </row>
    <row r="537" spans="1:15" x14ac:dyDescent="0.35">
      <c r="A537">
        <v>536</v>
      </c>
      <c r="B537">
        <v>39</v>
      </c>
      <c r="C537" t="s">
        <v>12</v>
      </c>
      <c r="D537" t="s">
        <v>23</v>
      </c>
      <c r="E537" t="s">
        <v>32</v>
      </c>
      <c r="F537" t="s">
        <v>29</v>
      </c>
      <c r="G537">
        <v>3494</v>
      </c>
      <c r="H537">
        <v>97</v>
      </c>
      <c r="I537">
        <v>25</v>
      </c>
      <c r="J537" s="5">
        <v>4975</v>
      </c>
      <c r="K537" s="4">
        <v>1090</v>
      </c>
      <c r="L537" s="6">
        <v>45755</v>
      </c>
      <c r="M537" s="7">
        <f t="shared" si="24"/>
        <v>2.7761877504293073E-2</v>
      </c>
      <c r="N537" s="7">
        <f t="shared" si="25"/>
        <v>0.25773195876288657</v>
      </c>
      <c r="O537" s="7">
        <f t="shared" si="26"/>
        <v>3.5642201834862384</v>
      </c>
    </row>
    <row r="538" spans="1:15" x14ac:dyDescent="0.35">
      <c r="A538">
        <v>537</v>
      </c>
      <c r="B538">
        <v>21</v>
      </c>
      <c r="C538" t="s">
        <v>19</v>
      </c>
      <c r="D538" t="s">
        <v>26</v>
      </c>
      <c r="E538" t="s">
        <v>14</v>
      </c>
      <c r="F538" t="s">
        <v>22</v>
      </c>
      <c r="G538">
        <v>2961</v>
      </c>
      <c r="H538">
        <v>74</v>
      </c>
      <c r="I538">
        <v>32</v>
      </c>
      <c r="J538" s="5">
        <v>6144</v>
      </c>
      <c r="K538" s="4">
        <v>1672</v>
      </c>
      <c r="L538" s="6">
        <v>45706</v>
      </c>
      <c r="M538" s="7">
        <f t="shared" si="24"/>
        <v>2.4991556906450524E-2</v>
      </c>
      <c r="N538" s="7">
        <f t="shared" si="25"/>
        <v>0.43243243243243246</v>
      </c>
      <c r="O538" s="7">
        <f t="shared" si="26"/>
        <v>2.6746411483253589</v>
      </c>
    </row>
    <row r="539" spans="1:15" x14ac:dyDescent="0.35">
      <c r="A539">
        <v>538</v>
      </c>
      <c r="B539">
        <v>49</v>
      </c>
      <c r="C539" t="s">
        <v>12</v>
      </c>
      <c r="D539" t="s">
        <v>16</v>
      </c>
      <c r="E539" t="s">
        <v>28</v>
      </c>
      <c r="F539" t="s">
        <v>29</v>
      </c>
      <c r="G539">
        <v>582</v>
      </c>
      <c r="H539">
        <v>434</v>
      </c>
      <c r="I539">
        <v>14</v>
      </c>
      <c r="J539" s="5">
        <v>2128</v>
      </c>
      <c r="K539" s="4">
        <v>1643</v>
      </c>
      <c r="L539" s="6">
        <v>45705</v>
      </c>
      <c r="M539" s="7">
        <f t="shared" si="24"/>
        <v>0.74570446735395191</v>
      </c>
      <c r="N539" s="7">
        <f t="shared" si="25"/>
        <v>3.2258064516129031E-2</v>
      </c>
      <c r="O539" s="7">
        <f t="shared" si="26"/>
        <v>0.29519172245891662</v>
      </c>
    </row>
    <row r="540" spans="1:15" x14ac:dyDescent="0.35">
      <c r="A540">
        <v>539</v>
      </c>
      <c r="B540">
        <v>52</v>
      </c>
      <c r="C540" t="s">
        <v>19</v>
      </c>
      <c r="D540" t="s">
        <v>16</v>
      </c>
      <c r="E540" t="s">
        <v>32</v>
      </c>
      <c r="F540" t="s">
        <v>15</v>
      </c>
      <c r="G540">
        <v>3204</v>
      </c>
      <c r="H540">
        <v>379</v>
      </c>
      <c r="I540">
        <v>31</v>
      </c>
      <c r="J540" s="5">
        <v>3999</v>
      </c>
      <c r="K540" s="4">
        <v>253</v>
      </c>
      <c r="L540" s="6">
        <v>45742</v>
      </c>
      <c r="M540" s="7">
        <f t="shared" si="24"/>
        <v>0.1182896379525593</v>
      </c>
      <c r="N540" s="7">
        <f t="shared" si="25"/>
        <v>8.1794195250659632E-2</v>
      </c>
      <c r="O540" s="7">
        <f t="shared" si="26"/>
        <v>14.806324110671937</v>
      </c>
    </row>
    <row r="541" spans="1:15" x14ac:dyDescent="0.35">
      <c r="A541">
        <v>540</v>
      </c>
      <c r="B541">
        <v>44</v>
      </c>
      <c r="C541" t="s">
        <v>19</v>
      </c>
      <c r="D541" t="s">
        <v>20</v>
      </c>
      <c r="E541" t="s">
        <v>21</v>
      </c>
      <c r="F541" t="s">
        <v>18</v>
      </c>
      <c r="G541">
        <v>4962</v>
      </c>
      <c r="H541">
        <v>320</v>
      </c>
      <c r="I541">
        <v>8</v>
      </c>
      <c r="J541" s="5">
        <v>1216</v>
      </c>
      <c r="K541" s="4">
        <v>1828</v>
      </c>
      <c r="L541" s="6">
        <v>45676</v>
      </c>
      <c r="M541" s="7">
        <f t="shared" si="24"/>
        <v>6.4490124949617089E-2</v>
      </c>
      <c r="N541" s="7">
        <f t="shared" si="25"/>
        <v>2.5000000000000001E-2</v>
      </c>
      <c r="O541" s="7">
        <f t="shared" si="26"/>
        <v>-0.33479212253829321</v>
      </c>
    </row>
    <row r="542" spans="1:15" x14ac:dyDescent="0.35">
      <c r="A542">
        <v>541</v>
      </c>
      <c r="B542">
        <v>37</v>
      </c>
      <c r="C542" t="s">
        <v>12</v>
      </c>
      <c r="D542" t="s">
        <v>27</v>
      </c>
      <c r="E542" t="s">
        <v>17</v>
      </c>
      <c r="F542" t="s">
        <v>15</v>
      </c>
      <c r="G542">
        <v>1359</v>
      </c>
      <c r="H542">
        <v>322</v>
      </c>
      <c r="I542">
        <v>47</v>
      </c>
      <c r="J542" s="5">
        <v>5640</v>
      </c>
      <c r="K542" s="4">
        <v>576</v>
      </c>
      <c r="L542" s="6">
        <v>45696</v>
      </c>
      <c r="M542" s="7">
        <f t="shared" si="24"/>
        <v>0.23693892568064753</v>
      </c>
      <c r="N542" s="7">
        <f t="shared" si="25"/>
        <v>0.14596273291925466</v>
      </c>
      <c r="O542" s="7">
        <f t="shared" si="26"/>
        <v>8.7916666666666661</v>
      </c>
    </row>
    <row r="543" spans="1:15" x14ac:dyDescent="0.35">
      <c r="A543">
        <v>542</v>
      </c>
      <c r="B543">
        <v>50</v>
      </c>
      <c r="C543" t="s">
        <v>19</v>
      </c>
      <c r="D543" t="s">
        <v>26</v>
      </c>
      <c r="E543" t="s">
        <v>30</v>
      </c>
      <c r="F543" t="s">
        <v>18</v>
      </c>
      <c r="G543">
        <v>868</v>
      </c>
      <c r="H543">
        <v>294</v>
      </c>
      <c r="I543">
        <v>27</v>
      </c>
      <c r="J543" s="5">
        <v>4725</v>
      </c>
      <c r="K543" s="4">
        <v>1334</v>
      </c>
      <c r="L543" s="6">
        <v>45767</v>
      </c>
      <c r="M543" s="7">
        <f t="shared" si="24"/>
        <v>0.33870967741935482</v>
      </c>
      <c r="N543" s="7">
        <f t="shared" si="25"/>
        <v>9.1836734693877556E-2</v>
      </c>
      <c r="O543" s="7">
        <f t="shared" si="26"/>
        <v>2.5419790104947526</v>
      </c>
    </row>
    <row r="544" spans="1:15" x14ac:dyDescent="0.35">
      <c r="A544">
        <v>543</v>
      </c>
      <c r="B544">
        <v>28</v>
      </c>
      <c r="C544" t="s">
        <v>19</v>
      </c>
      <c r="D544" t="s">
        <v>27</v>
      </c>
      <c r="E544" t="s">
        <v>33</v>
      </c>
      <c r="F544" t="s">
        <v>18</v>
      </c>
      <c r="G544">
        <v>4664</v>
      </c>
      <c r="H544">
        <v>348</v>
      </c>
      <c r="I544">
        <v>52</v>
      </c>
      <c r="J544" s="5">
        <v>6188</v>
      </c>
      <c r="K544" s="4">
        <v>1001</v>
      </c>
      <c r="L544" s="6">
        <v>45724</v>
      </c>
      <c r="M544" s="7">
        <f t="shared" si="24"/>
        <v>7.4614065180102912E-2</v>
      </c>
      <c r="N544" s="7">
        <f t="shared" si="25"/>
        <v>0.14942528735632185</v>
      </c>
      <c r="O544" s="7">
        <f t="shared" si="26"/>
        <v>5.1818181818181817</v>
      </c>
    </row>
    <row r="545" spans="1:15" x14ac:dyDescent="0.35">
      <c r="A545">
        <v>544</v>
      </c>
      <c r="B545">
        <v>35</v>
      </c>
      <c r="C545" t="s">
        <v>19</v>
      </c>
      <c r="D545" t="s">
        <v>26</v>
      </c>
      <c r="E545" t="s">
        <v>14</v>
      </c>
      <c r="F545" t="s">
        <v>18</v>
      </c>
      <c r="G545">
        <v>4401</v>
      </c>
      <c r="H545">
        <v>363</v>
      </c>
      <c r="I545">
        <v>37</v>
      </c>
      <c r="J545" s="5">
        <v>3515</v>
      </c>
      <c r="K545" s="4">
        <v>530</v>
      </c>
      <c r="L545" s="6">
        <v>45667</v>
      </c>
      <c r="M545" s="7">
        <f t="shared" si="24"/>
        <v>8.2481254260395362E-2</v>
      </c>
      <c r="N545" s="7">
        <f t="shared" si="25"/>
        <v>0.10192837465564739</v>
      </c>
      <c r="O545" s="7">
        <f t="shared" si="26"/>
        <v>5.632075471698113</v>
      </c>
    </row>
    <row r="546" spans="1:15" x14ac:dyDescent="0.35">
      <c r="A546">
        <v>545</v>
      </c>
      <c r="B546">
        <v>30</v>
      </c>
      <c r="C546" t="s">
        <v>12</v>
      </c>
      <c r="D546" t="s">
        <v>20</v>
      </c>
      <c r="E546" t="s">
        <v>17</v>
      </c>
      <c r="F546" t="s">
        <v>29</v>
      </c>
      <c r="G546">
        <v>1861</v>
      </c>
      <c r="H546">
        <v>87</v>
      </c>
      <c r="I546">
        <v>23</v>
      </c>
      <c r="J546" s="5">
        <v>3174</v>
      </c>
      <c r="K546" s="4">
        <v>1387</v>
      </c>
      <c r="L546" s="6">
        <v>45703</v>
      </c>
      <c r="M546" s="7">
        <f t="shared" si="24"/>
        <v>4.6749059645351962E-2</v>
      </c>
      <c r="N546" s="7">
        <f t="shared" si="25"/>
        <v>0.26436781609195403</v>
      </c>
      <c r="O546" s="7">
        <f t="shared" si="26"/>
        <v>1.2883922134102379</v>
      </c>
    </row>
    <row r="547" spans="1:15" x14ac:dyDescent="0.35">
      <c r="A547">
        <v>546</v>
      </c>
      <c r="B547">
        <v>44</v>
      </c>
      <c r="C547" t="s">
        <v>19</v>
      </c>
      <c r="D547" t="s">
        <v>13</v>
      </c>
      <c r="E547" t="s">
        <v>17</v>
      </c>
      <c r="F547" t="s">
        <v>22</v>
      </c>
      <c r="G547">
        <v>2934</v>
      </c>
      <c r="H547">
        <v>407</v>
      </c>
      <c r="I547">
        <v>69</v>
      </c>
      <c r="J547" s="5">
        <v>13731</v>
      </c>
      <c r="K547" s="4">
        <v>1214</v>
      </c>
      <c r="L547" s="6">
        <v>45708</v>
      </c>
      <c r="M547" s="7">
        <f t="shared" si="24"/>
        <v>0.1387184730743013</v>
      </c>
      <c r="N547" s="7">
        <f t="shared" si="25"/>
        <v>0.16953316953316952</v>
      </c>
      <c r="O547" s="7">
        <f t="shared" si="26"/>
        <v>10.310543657331136</v>
      </c>
    </row>
    <row r="548" spans="1:15" x14ac:dyDescent="0.35">
      <c r="A548">
        <v>547</v>
      </c>
      <c r="B548">
        <v>42</v>
      </c>
      <c r="C548" t="s">
        <v>19</v>
      </c>
      <c r="D548" t="s">
        <v>20</v>
      </c>
      <c r="E548" t="s">
        <v>14</v>
      </c>
      <c r="F548" t="s">
        <v>18</v>
      </c>
      <c r="G548">
        <v>993</v>
      </c>
      <c r="H548">
        <v>258</v>
      </c>
      <c r="I548">
        <v>77</v>
      </c>
      <c r="J548" s="5">
        <v>6545</v>
      </c>
      <c r="K548" s="4">
        <v>708</v>
      </c>
      <c r="L548" s="6">
        <v>45770</v>
      </c>
      <c r="M548" s="7">
        <f t="shared" si="24"/>
        <v>0.25981873111782477</v>
      </c>
      <c r="N548" s="7">
        <f t="shared" si="25"/>
        <v>0.29844961240310075</v>
      </c>
      <c r="O548" s="7">
        <f t="shared" si="26"/>
        <v>8.2443502824858754</v>
      </c>
    </row>
    <row r="549" spans="1:15" x14ac:dyDescent="0.35">
      <c r="A549">
        <v>548</v>
      </c>
      <c r="B549">
        <v>35</v>
      </c>
      <c r="C549" t="s">
        <v>12</v>
      </c>
      <c r="D549" t="s">
        <v>27</v>
      </c>
      <c r="E549" t="s">
        <v>17</v>
      </c>
      <c r="F549" t="s">
        <v>31</v>
      </c>
      <c r="G549">
        <v>4527</v>
      </c>
      <c r="H549">
        <v>333</v>
      </c>
      <c r="I549">
        <v>58</v>
      </c>
      <c r="J549" s="5">
        <v>5104</v>
      </c>
      <c r="K549" s="4">
        <v>748</v>
      </c>
      <c r="L549" s="6">
        <v>45716</v>
      </c>
      <c r="M549" s="7">
        <f t="shared" si="24"/>
        <v>7.3558648111332003E-2</v>
      </c>
      <c r="N549" s="7">
        <f t="shared" si="25"/>
        <v>0.17417417417417416</v>
      </c>
      <c r="O549" s="7">
        <f t="shared" si="26"/>
        <v>5.8235294117647056</v>
      </c>
    </row>
    <row r="550" spans="1:15" x14ac:dyDescent="0.35">
      <c r="A550">
        <v>549</v>
      </c>
      <c r="B550">
        <v>53</v>
      </c>
      <c r="C550" t="s">
        <v>19</v>
      </c>
      <c r="D550" t="s">
        <v>20</v>
      </c>
      <c r="E550" t="s">
        <v>33</v>
      </c>
      <c r="F550" t="s">
        <v>31</v>
      </c>
      <c r="G550">
        <v>3317</v>
      </c>
      <c r="H550">
        <v>494</v>
      </c>
      <c r="I550">
        <v>62</v>
      </c>
      <c r="J550" s="5">
        <v>8618</v>
      </c>
      <c r="K550" s="4">
        <v>562</v>
      </c>
      <c r="L550" s="6">
        <v>45764</v>
      </c>
      <c r="M550" s="7">
        <f t="shared" si="24"/>
        <v>0.14892975580343684</v>
      </c>
      <c r="N550" s="7">
        <f t="shared" si="25"/>
        <v>0.12550607287449392</v>
      </c>
      <c r="O550" s="7">
        <f t="shared" si="26"/>
        <v>14.334519572953736</v>
      </c>
    </row>
    <row r="551" spans="1:15" x14ac:dyDescent="0.35">
      <c r="A551">
        <v>550</v>
      </c>
      <c r="B551">
        <v>28</v>
      </c>
      <c r="C551" t="s">
        <v>12</v>
      </c>
      <c r="D551" t="s">
        <v>26</v>
      </c>
      <c r="E551" t="s">
        <v>21</v>
      </c>
      <c r="F551" t="s">
        <v>18</v>
      </c>
      <c r="G551">
        <v>1858</v>
      </c>
      <c r="H551">
        <v>141</v>
      </c>
      <c r="I551">
        <v>22</v>
      </c>
      <c r="J551" s="5">
        <v>2222</v>
      </c>
      <c r="K551" s="4">
        <v>262</v>
      </c>
      <c r="L551" s="6">
        <v>45714</v>
      </c>
      <c r="M551" s="7">
        <f t="shared" si="24"/>
        <v>7.5888051668460715E-2</v>
      </c>
      <c r="N551" s="7">
        <f t="shared" si="25"/>
        <v>0.15602836879432624</v>
      </c>
      <c r="O551" s="7">
        <f t="shared" si="26"/>
        <v>7.4809160305343507</v>
      </c>
    </row>
    <row r="552" spans="1:15" x14ac:dyDescent="0.35">
      <c r="A552">
        <v>551</v>
      </c>
      <c r="B552">
        <v>41</v>
      </c>
      <c r="C552" t="s">
        <v>12</v>
      </c>
      <c r="D552" t="s">
        <v>16</v>
      </c>
      <c r="E552" t="s">
        <v>32</v>
      </c>
      <c r="F552" t="s">
        <v>18</v>
      </c>
      <c r="G552">
        <v>4851</v>
      </c>
      <c r="H552">
        <v>184</v>
      </c>
      <c r="I552">
        <v>65</v>
      </c>
      <c r="J552" s="5">
        <v>8645</v>
      </c>
      <c r="K552" s="4">
        <v>1074</v>
      </c>
      <c r="L552" s="6">
        <v>45749</v>
      </c>
      <c r="M552" s="7">
        <f t="shared" si="24"/>
        <v>3.7930323644609361E-2</v>
      </c>
      <c r="N552" s="7">
        <f t="shared" si="25"/>
        <v>0.35326086956521741</v>
      </c>
      <c r="O552" s="7">
        <f t="shared" si="26"/>
        <v>7.0493482309124769</v>
      </c>
    </row>
    <row r="553" spans="1:15" x14ac:dyDescent="0.35">
      <c r="A553">
        <v>552</v>
      </c>
      <c r="B553">
        <v>18</v>
      </c>
      <c r="C553" t="s">
        <v>12</v>
      </c>
      <c r="D553" t="s">
        <v>27</v>
      </c>
      <c r="E553" t="s">
        <v>28</v>
      </c>
      <c r="F553" t="s">
        <v>29</v>
      </c>
      <c r="G553">
        <v>3778</v>
      </c>
      <c r="H553">
        <v>178</v>
      </c>
      <c r="I553">
        <v>59</v>
      </c>
      <c r="J553" s="5">
        <v>9263</v>
      </c>
      <c r="K553" s="4">
        <v>1226</v>
      </c>
      <c r="L553" s="6">
        <v>45695</v>
      </c>
      <c r="M553" s="7">
        <f t="shared" si="24"/>
        <v>4.7114875595553204E-2</v>
      </c>
      <c r="N553" s="7">
        <f t="shared" si="25"/>
        <v>0.33146067415730335</v>
      </c>
      <c r="O553" s="7">
        <f t="shared" si="26"/>
        <v>6.5554649265905383</v>
      </c>
    </row>
    <row r="554" spans="1:15" x14ac:dyDescent="0.35">
      <c r="A554">
        <v>553</v>
      </c>
      <c r="B554">
        <v>24</v>
      </c>
      <c r="C554" t="s">
        <v>12</v>
      </c>
      <c r="D554" t="s">
        <v>16</v>
      </c>
      <c r="E554" t="s">
        <v>24</v>
      </c>
      <c r="F554" t="s">
        <v>22</v>
      </c>
      <c r="G554">
        <v>1424</v>
      </c>
      <c r="H554">
        <v>182</v>
      </c>
      <c r="I554">
        <v>78</v>
      </c>
      <c r="J554" s="5">
        <v>7800</v>
      </c>
      <c r="K554" s="4">
        <v>1059</v>
      </c>
      <c r="L554" s="6">
        <v>45766</v>
      </c>
      <c r="M554" s="7">
        <f t="shared" si="24"/>
        <v>0.12780898876404495</v>
      </c>
      <c r="N554" s="7">
        <f t="shared" si="25"/>
        <v>0.42857142857142855</v>
      </c>
      <c r="O554" s="7">
        <f t="shared" si="26"/>
        <v>6.3654390934844196</v>
      </c>
    </row>
    <row r="555" spans="1:15" x14ac:dyDescent="0.35">
      <c r="A555">
        <v>554</v>
      </c>
      <c r="B555">
        <v>44</v>
      </c>
      <c r="C555" t="s">
        <v>19</v>
      </c>
      <c r="D555" t="s">
        <v>20</v>
      </c>
      <c r="E555" t="s">
        <v>17</v>
      </c>
      <c r="F555" t="s">
        <v>31</v>
      </c>
      <c r="G555">
        <v>1302</v>
      </c>
      <c r="H555">
        <v>118</v>
      </c>
      <c r="I555">
        <v>5</v>
      </c>
      <c r="J555" s="5">
        <v>455</v>
      </c>
      <c r="K555" s="4">
        <v>395</v>
      </c>
      <c r="L555" s="6">
        <v>45763</v>
      </c>
      <c r="M555" s="7">
        <f t="shared" si="24"/>
        <v>9.0629800307219663E-2</v>
      </c>
      <c r="N555" s="7">
        <f t="shared" si="25"/>
        <v>4.2372881355932202E-2</v>
      </c>
      <c r="O555" s="7">
        <f t="shared" si="26"/>
        <v>0.15189873417721519</v>
      </c>
    </row>
    <row r="556" spans="1:15" x14ac:dyDescent="0.35">
      <c r="A556">
        <v>555</v>
      </c>
      <c r="B556">
        <v>41</v>
      </c>
      <c r="C556" t="s">
        <v>19</v>
      </c>
      <c r="D556" t="s">
        <v>27</v>
      </c>
      <c r="E556" t="s">
        <v>30</v>
      </c>
      <c r="F556" t="s">
        <v>29</v>
      </c>
      <c r="G556">
        <v>4106</v>
      </c>
      <c r="H556">
        <v>202</v>
      </c>
      <c r="I556">
        <v>25</v>
      </c>
      <c r="J556" s="5">
        <v>3550</v>
      </c>
      <c r="K556" s="4">
        <v>260</v>
      </c>
      <c r="L556" s="6">
        <v>45766</v>
      </c>
      <c r="M556" s="7">
        <f t="shared" si="24"/>
        <v>4.9196298100340964E-2</v>
      </c>
      <c r="N556" s="7">
        <f t="shared" si="25"/>
        <v>0.12376237623762376</v>
      </c>
      <c r="O556" s="7">
        <f t="shared" si="26"/>
        <v>12.653846153846153</v>
      </c>
    </row>
    <row r="557" spans="1:15" x14ac:dyDescent="0.35">
      <c r="A557">
        <v>556</v>
      </c>
      <c r="B557">
        <v>33</v>
      </c>
      <c r="C557" t="s">
        <v>19</v>
      </c>
      <c r="D557" t="s">
        <v>20</v>
      </c>
      <c r="E557" t="s">
        <v>34</v>
      </c>
      <c r="F557" t="s">
        <v>15</v>
      </c>
      <c r="G557">
        <v>3091</v>
      </c>
      <c r="H557">
        <v>104</v>
      </c>
      <c r="I557">
        <v>9</v>
      </c>
      <c r="J557" s="5">
        <v>1701</v>
      </c>
      <c r="K557" s="4">
        <v>1771</v>
      </c>
      <c r="L557" s="6">
        <v>45770</v>
      </c>
      <c r="M557" s="7">
        <f t="shared" si="24"/>
        <v>3.3646069233257844E-2</v>
      </c>
      <c r="N557" s="7">
        <f t="shared" si="25"/>
        <v>8.6538461538461536E-2</v>
      </c>
      <c r="O557" s="7">
        <f t="shared" si="26"/>
        <v>-3.9525691699604744E-2</v>
      </c>
    </row>
    <row r="558" spans="1:15" x14ac:dyDescent="0.35">
      <c r="A558">
        <v>557</v>
      </c>
      <c r="B558">
        <v>52</v>
      </c>
      <c r="C558" t="s">
        <v>19</v>
      </c>
      <c r="D558" t="s">
        <v>26</v>
      </c>
      <c r="E558" t="s">
        <v>14</v>
      </c>
      <c r="F558" t="s">
        <v>15</v>
      </c>
      <c r="G558">
        <v>1736</v>
      </c>
      <c r="H558">
        <v>366</v>
      </c>
      <c r="I558">
        <v>13</v>
      </c>
      <c r="J558" s="5">
        <v>2522</v>
      </c>
      <c r="K558" s="4">
        <v>1229</v>
      </c>
      <c r="L558" s="6">
        <v>45679</v>
      </c>
      <c r="M558" s="7">
        <f t="shared" si="24"/>
        <v>0.21082949308755761</v>
      </c>
      <c r="N558" s="7">
        <f t="shared" si="25"/>
        <v>3.5519125683060107E-2</v>
      </c>
      <c r="O558" s="7">
        <f t="shared" si="26"/>
        <v>1.0520748576078112</v>
      </c>
    </row>
    <row r="559" spans="1:15" x14ac:dyDescent="0.35">
      <c r="A559">
        <v>558</v>
      </c>
      <c r="B559">
        <v>34</v>
      </c>
      <c r="C559" t="s">
        <v>12</v>
      </c>
      <c r="D559" t="s">
        <v>27</v>
      </c>
      <c r="E559" t="s">
        <v>14</v>
      </c>
      <c r="F559" t="s">
        <v>29</v>
      </c>
      <c r="G559">
        <v>2972</v>
      </c>
      <c r="H559">
        <v>167</v>
      </c>
      <c r="I559">
        <v>9</v>
      </c>
      <c r="J559" s="5">
        <v>1494</v>
      </c>
      <c r="K559" s="4">
        <v>1649</v>
      </c>
      <c r="L559" s="6">
        <v>45737</v>
      </c>
      <c r="M559" s="7">
        <f t="shared" si="24"/>
        <v>5.6191117092866755E-2</v>
      </c>
      <c r="N559" s="7">
        <f t="shared" si="25"/>
        <v>5.3892215568862277E-2</v>
      </c>
      <c r="O559" s="7">
        <f t="shared" si="26"/>
        <v>-9.3996361431170405E-2</v>
      </c>
    </row>
    <row r="560" spans="1:15" x14ac:dyDescent="0.35">
      <c r="A560">
        <v>559</v>
      </c>
      <c r="B560">
        <v>54</v>
      </c>
      <c r="C560" t="s">
        <v>12</v>
      </c>
      <c r="D560" t="s">
        <v>26</v>
      </c>
      <c r="E560" t="s">
        <v>14</v>
      </c>
      <c r="F560" t="s">
        <v>31</v>
      </c>
      <c r="G560">
        <v>3442</v>
      </c>
      <c r="H560">
        <v>263</v>
      </c>
      <c r="I560">
        <v>77</v>
      </c>
      <c r="J560" s="5">
        <v>14630</v>
      </c>
      <c r="K560" s="4">
        <v>1508</v>
      </c>
      <c r="L560" s="6">
        <v>45670</v>
      </c>
      <c r="M560" s="7">
        <f t="shared" si="24"/>
        <v>7.6409064497385243E-2</v>
      </c>
      <c r="N560" s="7">
        <f t="shared" si="25"/>
        <v>0.29277566539923955</v>
      </c>
      <c r="O560" s="7">
        <f t="shared" si="26"/>
        <v>8.7015915119363392</v>
      </c>
    </row>
    <row r="561" spans="1:15" x14ac:dyDescent="0.35">
      <c r="A561">
        <v>560</v>
      </c>
      <c r="B561">
        <v>38</v>
      </c>
      <c r="C561" t="s">
        <v>12</v>
      </c>
      <c r="D561" t="s">
        <v>26</v>
      </c>
      <c r="E561" t="s">
        <v>33</v>
      </c>
      <c r="F561" t="s">
        <v>15</v>
      </c>
      <c r="G561">
        <v>4129</v>
      </c>
      <c r="H561">
        <v>421</v>
      </c>
      <c r="I561">
        <v>27</v>
      </c>
      <c r="J561" s="5">
        <v>2592</v>
      </c>
      <c r="K561" s="4">
        <v>1268</v>
      </c>
      <c r="L561" s="6">
        <v>45758</v>
      </c>
      <c r="M561" s="7">
        <f t="shared" si="24"/>
        <v>0.10196173407604747</v>
      </c>
      <c r="N561" s="7">
        <f t="shared" si="25"/>
        <v>6.413301662707839E-2</v>
      </c>
      <c r="O561" s="7">
        <f t="shared" si="26"/>
        <v>1.0441640378548895</v>
      </c>
    </row>
    <row r="562" spans="1:15" x14ac:dyDescent="0.35">
      <c r="A562">
        <v>561</v>
      </c>
      <c r="B562">
        <v>50</v>
      </c>
      <c r="C562" t="s">
        <v>19</v>
      </c>
      <c r="D562" t="s">
        <v>16</v>
      </c>
      <c r="E562" t="s">
        <v>34</v>
      </c>
      <c r="F562" t="s">
        <v>29</v>
      </c>
      <c r="G562">
        <v>1145</v>
      </c>
      <c r="H562">
        <v>157</v>
      </c>
      <c r="I562">
        <v>22</v>
      </c>
      <c r="J562" s="5">
        <v>2222</v>
      </c>
      <c r="K562" s="4">
        <v>1829</v>
      </c>
      <c r="L562" s="6">
        <v>45764</v>
      </c>
      <c r="M562" s="7">
        <f t="shared" si="24"/>
        <v>0.13711790393013101</v>
      </c>
      <c r="N562" s="7">
        <f t="shared" si="25"/>
        <v>0.14012738853503184</v>
      </c>
      <c r="O562" s="7">
        <f t="shared" si="26"/>
        <v>0.21487151448879169</v>
      </c>
    </row>
    <row r="563" spans="1:15" x14ac:dyDescent="0.35">
      <c r="A563">
        <v>562</v>
      </c>
      <c r="B563">
        <v>53</v>
      </c>
      <c r="C563" t="s">
        <v>12</v>
      </c>
      <c r="D563" t="s">
        <v>20</v>
      </c>
      <c r="E563" t="s">
        <v>33</v>
      </c>
      <c r="F563" t="s">
        <v>31</v>
      </c>
      <c r="G563">
        <v>998</v>
      </c>
      <c r="H563">
        <v>171</v>
      </c>
      <c r="I563">
        <v>14</v>
      </c>
      <c r="J563" s="5">
        <v>2716</v>
      </c>
      <c r="K563" s="4">
        <v>1219</v>
      </c>
      <c r="L563" s="6">
        <v>45730</v>
      </c>
      <c r="M563" s="7">
        <f t="shared" si="24"/>
        <v>0.17134268537074149</v>
      </c>
      <c r="N563" s="7">
        <f t="shared" si="25"/>
        <v>8.1871345029239762E-2</v>
      </c>
      <c r="O563" s="7">
        <f t="shared" si="26"/>
        <v>1.2280557834290402</v>
      </c>
    </row>
    <row r="564" spans="1:15" x14ac:dyDescent="0.35">
      <c r="A564">
        <v>563</v>
      </c>
      <c r="B564">
        <v>36</v>
      </c>
      <c r="C564" t="s">
        <v>19</v>
      </c>
      <c r="D564" t="s">
        <v>13</v>
      </c>
      <c r="E564" t="s">
        <v>28</v>
      </c>
      <c r="F564" t="s">
        <v>18</v>
      </c>
      <c r="G564">
        <v>4111</v>
      </c>
      <c r="H564">
        <v>60</v>
      </c>
      <c r="I564">
        <v>43</v>
      </c>
      <c r="J564" s="5">
        <v>5418</v>
      </c>
      <c r="K564" s="4">
        <v>446</v>
      </c>
      <c r="L564" s="6">
        <v>45672</v>
      </c>
      <c r="M564" s="7">
        <f t="shared" si="24"/>
        <v>1.4594989053758209E-2</v>
      </c>
      <c r="N564" s="7">
        <f t="shared" si="25"/>
        <v>0.71666666666666667</v>
      </c>
      <c r="O564" s="7">
        <f t="shared" si="26"/>
        <v>11.147982062780269</v>
      </c>
    </row>
    <row r="565" spans="1:15" x14ac:dyDescent="0.35">
      <c r="A565">
        <v>564</v>
      </c>
      <c r="B565">
        <v>26</v>
      </c>
      <c r="C565" t="s">
        <v>12</v>
      </c>
      <c r="D565" t="s">
        <v>23</v>
      </c>
      <c r="E565" t="s">
        <v>34</v>
      </c>
      <c r="F565" t="s">
        <v>29</v>
      </c>
      <c r="G565">
        <v>3953</v>
      </c>
      <c r="H565">
        <v>461</v>
      </c>
      <c r="I565">
        <v>28</v>
      </c>
      <c r="J565" s="5">
        <v>5208</v>
      </c>
      <c r="K565" s="4">
        <v>1807</v>
      </c>
      <c r="L565" s="6">
        <v>45719</v>
      </c>
      <c r="M565" s="7">
        <f t="shared" si="24"/>
        <v>0.11662028838856564</v>
      </c>
      <c r="N565" s="7">
        <f t="shared" si="25"/>
        <v>6.0737527114967459E-2</v>
      </c>
      <c r="O565" s="7">
        <f t="shared" si="26"/>
        <v>1.882125069175429</v>
      </c>
    </row>
    <row r="566" spans="1:15" x14ac:dyDescent="0.35">
      <c r="A566">
        <v>565</v>
      </c>
      <c r="B566">
        <v>18</v>
      </c>
      <c r="C566" t="s">
        <v>19</v>
      </c>
      <c r="D566" t="s">
        <v>13</v>
      </c>
      <c r="E566" t="s">
        <v>33</v>
      </c>
      <c r="F566" t="s">
        <v>15</v>
      </c>
      <c r="G566">
        <v>4052</v>
      </c>
      <c r="H566">
        <v>68</v>
      </c>
      <c r="I566">
        <v>71</v>
      </c>
      <c r="J566" s="5">
        <v>8449</v>
      </c>
      <c r="K566" s="4">
        <v>529</v>
      </c>
      <c r="L566" s="6">
        <v>45755</v>
      </c>
      <c r="M566" s="7">
        <f t="shared" si="24"/>
        <v>1.6781836130306021E-2</v>
      </c>
      <c r="N566" s="7">
        <f t="shared" si="25"/>
        <v>1.0441176470588236</v>
      </c>
      <c r="O566" s="7">
        <f t="shared" si="26"/>
        <v>14.971644612476371</v>
      </c>
    </row>
    <row r="567" spans="1:15" x14ac:dyDescent="0.35">
      <c r="A567">
        <v>566</v>
      </c>
      <c r="B567">
        <v>30</v>
      </c>
      <c r="C567" t="s">
        <v>12</v>
      </c>
      <c r="D567" t="s">
        <v>26</v>
      </c>
      <c r="E567" t="s">
        <v>34</v>
      </c>
      <c r="F567" t="s">
        <v>31</v>
      </c>
      <c r="G567">
        <v>4736</v>
      </c>
      <c r="H567">
        <v>295</v>
      </c>
      <c r="I567">
        <v>5</v>
      </c>
      <c r="J567" s="5">
        <v>860</v>
      </c>
      <c r="K567" s="4">
        <v>1129</v>
      </c>
      <c r="L567" s="6">
        <v>45774</v>
      </c>
      <c r="M567" s="7">
        <f t="shared" si="24"/>
        <v>6.228885135135135E-2</v>
      </c>
      <c r="N567" s="7">
        <f t="shared" si="25"/>
        <v>1.6949152542372881E-2</v>
      </c>
      <c r="O567" s="7">
        <f t="shared" si="26"/>
        <v>-0.23826395039858281</v>
      </c>
    </row>
    <row r="568" spans="1:15" x14ac:dyDescent="0.35">
      <c r="A568">
        <v>567</v>
      </c>
      <c r="B568">
        <v>43</v>
      </c>
      <c r="C568" t="s">
        <v>12</v>
      </c>
      <c r="D568" t="s">
        <v>13</v>
      </c>
      <c r="E568" t="s">
        <v>34</v>
      </c>
      <c r="F568" t="s">
        <v>18</v>
      </c>
      <c r="G568">
        <v>3888</v>
      </c>
      <c r="H568">
        <v>462</v>
      </c>
      <c r="I568">
        <v>43</v>
      </c>
      <c r="J568" s="5">
        <v>7181</v>
      </c>
      <c r="K568" s="4">
        <v>839</v>
      </c>
      <c r="L568" s="6">
        <v>45728</v>
      </c>
      <c r="M568" s="7">
        <f t="shared" si="24"/>
        <v>0.11882716049382716</v>
      </c>
      <c r="N568" s="7">
        <f t="shared" si="25"/>
        <v>9.3073593073593072E-2</v>
      </c>
      <c r="O568" s="7">
        <f t="shared" si="26"/>
        <v>7.5589988081048869</v>
      </c>
    </row>
    <row r="569" spans="1:15" x14ac:dyDescent="0.35">
      <c r="A569">
        <v>568</v>
      </c>
      <c r="B569">
        <v>18</v>
      </c>
      <c r="C569" t="s">
        <v>19</v>
      </c>
      <c r="D569" t="s">
        <v>20</v>
      </c>
      <c r="E569" t="s">
        <v>34</v>
      </c>
      <c r="F569" t="s">
        <v>22</v>
      </c>
      <c r="G569">
        <v>1848</v>
      </c>
      <c r="H569">
        <v>331</v>
      </c>
      <c r="I569">
        <v>53</v>
      </c>
      <c r="J569" s="5">
        <v>4558</v>
      </c>
      <c r="K569" s="4">
        <v>1674</v>
      </c>
      <c r="L569" s="6">
        <v>45719</v>
      </c>
      <c r="M569" s="7">
        <f t="shared" si="24"/>
        <v>0.17911255411255411</v>
      </c>
      <c r="N569" s="7">
        <f t="shared" si="25"/>
        <v>0.16012084592145015</v>
      </c>
      <c r="O569" s="7">
        <f t="shared" si="26"/>
        <v>1.7228195937873356</v>
      </c>
    </row>
    <row r="570" spans="1:15" x14ac:dyDescent="0.35">
      <c r="A570">
        <v>569</v>
      </c>
      <c r="B570">
        <v>49</v>
      </c>
      <c r="C570" t="s">
        <v>12</v>
      </c>
      <c r="D570" t="s">
        <v>20</v>
      </c>
      <c r="E570" t="s">
        <v>21</v>
      </c>
      <c r="F570" t="s">
        <v>29</v>
      </c>
      <c r="G570">
        <v>750</v>
      </c>
      <c r="H570">
        <v>302</v>
      </c>
      <c r="I570">
        <v>7</v>
      </c>
      <c r="J570" s="5">
        <v>756</v>
      </c>
      <c r="K570" s="4">
        <v>1430</v>
      </c>
      <c r="L570" s="6">
        <v>45673</v>
      </c>
      <c r="M570" s="7">
        <f t="shared" si="24"/>
        <v>0.40266666666666667</v>
      </c>
      <c r="N570" s="7">
        <f t="shared" si="25"/>
        <v>2.3178807947019868E-2</v>
      </c>
      <c r="O570" s="7">
        <f t="shared" si="26"/>
        <v>-0.47132867132867134</v>
      </c>
    </row>
    <row r="571" spans="1:15" x14ac:dyDescent="0.35">
      <c r="A571">
        <v>570</v>
      </c>
      <c r="B571">
        <v>18</v>
      </c>
      <c r="C571" t="s">
        <v>12</v>
      </c>
      <c r="D571" t="s">
        <v>16</v>
      </c>
      <c r="E571" t="s">
        <v>30</v>
      </c>
      <c r="F571" t="s">
        <v>15</v>
      </c>
      <c r="G571">
        <v>4393</v>
      </c>
      <c r="H571">
        <v>205</v>
      </c>
      <c r="I571">
        <v>77</v>
      </c>
      <c r="J571" s="5">
        <v>10395</v>
      </c>
      <c r="K571" s="4">
        <v>831</v>
      </c>
      <c r="L571" s="6">
        <v>45743</v>
      </c>
      <c r="M571" s="7">
        <f t="shared" si="24"/>
        <v>4.6665149100842247E-2</v>
      </c>
      <c r="N571" s="7">
        <f t="shared" si="25"/>
        <v>0.37560975609756098</v>
      </c>
      <c r="O571" s="7">
        <f t="shared" si="26"/>
        <v>11.509025270758123</v>
      </c>
    </row>
    <row r="572" spans="1:15" x14ac:dyDescent="0.35">
      <c r="A572">
        <v>571</v>
      </c>
      <c r="B572">
        <v>24</v>
      </c>
      <c r="C572" t="s">
        <v>19</v>
      </c>
      <c r="D572" t="s">
        <v>20</v>
      </c>
      <c r="E572" t="s">
        <v>24</v>
      </c>
      <c r="F572" t="s">
        <v>15</v>
      </c>
      <c r="G572">
        <v>2972</v>
      </c>
      <c r="H572">
        <v>413</v>
      </c>
      <c r="I572">
        <v>55</v>
      </c>
      <c r="J572" s="5">
        <v>10120</v>
      </c>
      <c r="K572" s="4">
        <v>829</v>
      </c>
      <c r="L572" s="6">
        <v>45676</v>
      </c>
      <c r="M572" s="7">
        <f t="shared" si="24"/>
        <v>0.13896366083445491</v>
      </c>
      <c r="N572" s="7">
        <f t="shared" si="25"/>
        <v>0.13317191283292978</v>
      </c>
      <c r="O572" s="7">
        <f t="shared" si="26"/>
        <v>11.207478890229192</v>
      </c>
    </row>
    <row r="573" spans="1:15" x14ac:dyDescent="0.35">
      <c r="A573">
        <v>572</v>
      </c>
      <c r="B573">
        <v>47</v>
      </c>
      <c r="C573" t="s">
        <v>12</v>
      </c>
      <c r="D573" t="s">
        <v>13</v>
      </c>
      <c r="E573" t="s">
        <v>30</v>
      </c>
      <c r="F573" t="s">
        <v>29</v>
      </c>
      <c r="G573">
        <v>4508</v>
      </c>
      <c r="H573">
        <v>478</v>
      </c>
      <c r="I573">
        <v>19</v>
      </c>
      <c r="J573" s="5">
        <v>1710</v>
      </c>
      <c r="K573" s="4">
        <v>1098</v>
      </c>
      <c r="L573" s="6">
        <v>45761</v>
      </c>
      <c r="M573" s="7">
        <f t="shared" si="24"/>
        <v>0.10603371783496007</v>
      </c>
      <c r="N573" s="7">
        <f t="shared" si="25"/>
        <v>3.9748953974895397E-2</v>
      </c>
      <c r="O573" s="7">
        <f t="shared" si="26"/>
        <v>0.55737704918032782</v>
      </c>
    </row>
    <row r="574" spans="1:15" x14ac:dyDescent="0.35">
      <c r="A574">
        <v>573</v>
      </c>
      <c r="B574">
        <v>25</v>
      </c>
      <c r="C574" t="s">
        <v>12</v>
      </c>
      <c r="D574" t="s">
        <v>23</v>
      </c>
      <c r="E574" t="s">
        <v>28</v>
      </c>
      <c r="F574" t="s">
        <v>18</v>
      </c>
      <c r="G574">
        <v>2982</v>
      </c>
      <c r="H574">
        <v>433</v>
      </c>
      <c r="I574">
        <v>52</v>
      </c>
      <c r="J574" s="5">
        <v>9100</v>
      </c>
      <c r="K574" s="4">
        <v>393</v>
      </c>
      <c r="L574" s="6">
        <v>45663</v>
      </c>
      <c r="M574" s="7">
        <f t="shared" si="24"/>
        <v>0.14520456069751844</v>
      </c>
      <c r="N574" s="7">
        <f t="shared" si="25"/>
        <v>0.12009237875288684</v>
      </c>
      <c r="O574" s="7">
        <f t="shared" si="26"/>
        <v>22.155216284987276</v>
      </c>
    </row>
    <row r="575" spans="1:15" x14ac:dyDescent="0.35">
      <c r="A575">
        <v>574</v>
      </c>
      <c r="B575">
        <v>45</v>
      </c>
      <c r="C575" t="s">
        <v>19</v>
      </c>
      <c r="D575" t="s">
        <v>20</v>
      </c>
      <c r="E575" t="s">
        <v>32</v>
      </c>
      <c r="F575" t="s">
        <v>31</v>
      </c>
      <c r="G575">
        <v>3263</v>
      </c>
      <c r="H575">
        <v>288</v>
      </c>
      <c r="I575">
        <v>61</v>
      </c>
      <c r="J575" s="5">
        <v>9638</v>
      </c>
      <c r="K575" s="4">
        <v>491</v>
      </c>
      <c r="L575" s="6">
        <v>45714</v>
      </c>
      <c r="M575" s="7">
        <f t="shared" si="24"/>
        <v>8.8262335274287465E-2</v>
      </c>
      <c r="N575" s="7">
        <f t="shared" si="25"/>
        <v>0.21180555555555555</v>
      </c>
      <c r="O575" s="7">
        <f t="shared" si="26"/>
        <v>18.629327902240327</v>
      </c>
    </row>
    <row r="576" spans="1:15" x14ac:dyDescent="0.35">
      <c r="A576">
        <v>575</v>
      </c>
      <c r="B576">
        <v>32</v>
      </c>
      <c r="C576" t="s">
        <v>19</v>
      </c>
      <c r="D576" t="s">
        <v>20</v>
      </c>
      <c r="E576" t="s">
        <v>32</v>
      </c>
      <c r="F576" t="s">
        <v>18</v>
      </c>
      <c r="G576">
        <v>3620</v>
      </c>
      <c r="H576">
        <v>222</v>
      </c>
      <c r="I576">
        <v>70</v>
      </c>
      <c r="J576" s="5">
        <v>8680</v>
      </c>
      <c r="K576" s="4">
        <v>532</v>
      </c>
      <c r="L576" s="6">
        <v>45721</v>
      </c>
      <c r="M576" s="7">
        <f t="shared" si="24"/>
        <v>6.132596685082873E-2</v>
      </c>
      <c r="N576" s="7">
        <f t="shared" si="25"/>
        <v>0.31531531531531531</v>
      </c>
      <c r="O576" s="7">
        <f t="shared" si="26"/>
        <v>15.315789473684211</v>
      </c>
    </row>
    <row r="577" spans="1:15" x14ac:dyDescent="0.35">
      <c r="A577">
        <v>576</v>
      </c>
      <c r="B577">
        <v>31</v>
      </c>
      <c r="C577" t="s">
        <v>12</v>
      </c>
      <c r="D577" t="s">
        <v>20</v>
      </c>
      <c r="E577" t="s">
        <v>17</v>
      </c>
      <c r="F577" t="s">
        <v>31</v>
      </c>
      <c r="G577">
        <v>4816</v>
      </c>
      <c r="H577">
        <v>172</v>
      </c>
      <c r="I577">
        <v>71</v>
      </c>
      <c r="J577" s="5">
        <v>9443</v>
      </c>
      <c r="K577" s="4">
        <v>202</v>
      </c>
      <c r="L577" s="6">
        <v>45716</v>
      </c>
      <c r="M577" s="7">
        <f t="shared" si="24"/>
        <v>3.5714285714285712E-2</v>
      </c>
      <c r="N577" s="7">
        <f t="shared" si="25"/>
        <v>0.41279069767441862</v>
      </c>
      <c r="O577" s="7">
        <f t="shared" si="26"/>
        <v>45.74752475247525</v>
      </c>
    </row>
    <row r="578" spans="1:15" x14ac:dyDescent="0.35">
      <c r="A578">
        <v>577</v>
      </c>
      <c r="B578">
        <v>49</v>
      </c>
      <c r="C578" t="s">
        <v>12</v>
      </c>
      <c r="D578" t="s">
        <v>20</v>
      </c>
      <c r="E578" t="s">
        <v>33</v>
      </c>
      <c r="F578" t="s">
        <v>29</v>
      </c>
      <c r="G578">
        <v>3121</v>
      </c>
      <c r="H578">
        <v>181</v>
      </c>
      <c r="I578">
        <v>64</v>
      </c>
      <c r="J578" s="5">
        <v>11136</v>
      </c>
      <c r="K578" s="4">
        <v>1042</v>
      </c>
      <c r="L578" s="6">
        <v>45719</v>
      </c>
      <c r="M578" s="7">
        <f t="shared" si="24"/>
        <v>5.7994232617750718E-2</v>
      </c>
      <c r="N578" s="7">
        <f t="shared" si="25"/>
        <v>0.35359116022099446</v>
      </c>
      <c r="O578" s="7">
        <f t="shared" si="26"/>
        <v>9.6871401151631478</v>
      </c>
    </row>
    <row r="579" spans="1:15" x14ac:dyDescent="0.35">
      <c r="A579">
        <v>578</v>
      </c>
      <c r="B579">
        <v>51</v>
      </c>
      <c r="C579" t="s">
        <v>12</v>
      </c>
      <c r="D579" t="s">
        <v>20</v>
      </c>
      <c r="E579" t="s">
        <v>17</v>
      </c>
      <c r="F579" t="s">
        <v>31</v>
      </c>
      <c r="G579">
        <v>1779</v>
      </c>
      <c r="H579">
        <v>98</v>
      </c>
      <c r="I579">
        <v>13</v>
      </c>
      <c r="J579" s="5">
        <v>1430</v>
      </c>
      <c r="K579" s="4">
        <v>547</v>
      </c>
      <c r="L579" s="6">
        <v>45736</v>
      </c>
      <c r="M579" s="7">
        <f t="shared" ref="M579:M642" si="27">H579/G579</f>
        <v>5.5087127599775153E-2</v>
      </c>
      <c r="N579" s="7">
        <f t="shared" ref="N579:N642" si="28">I579/H579</f>
        <v>0.1326530612244898</v>
      </c>
      <c r="O579" s="7">
        <f t="shared" ref="O579:O642" si="29">(J579-K579)/K579</f>
        <v>1.6142595978062158</v>
      </c>
    </row>
    <row r="580" spans="1:15" x14ac:dyDescent="0.35">
      <c r="A580">
        <v>579</v>
      </c>
      <c r="B580">
        <v>54</v>
      </c>
      <c r="C580" t="s">
        <v>12</v>
      </c>
      <c r="D580" t="s">
        <v>27</v>
      </c>
      <c r="E580" t="s">
        <v>14</v>
      </c>
      <c r="F580" t="s">
        <v>15</v>
      </c>
      <c r="G580">
        <v>2455</v>
      </c>
      <c r="H580">
        <v>185</v>
      </c>
      <c r="I580">
        <v>77</v>
      </c>
      <c r="J580" s="5">
        <v>10549</v>
      </c>
      <c r="K580" s="4">
        <v>449</v>
      </c>
      <c r="L580" s="6">
        <v>45753</v>
      </c>
      <c r="M580" s="7">
        <f t="shared" si="27"/>
        <v>7.5356415478615074E-2</v>
      </c>
      <c r="N580" s="7">
        <f t="shared" si="28"/>
        <v>0.41621621621621624</v>
      </c>
      <c r="O580" s="7">
        <f t="shared" si="29"/>
        <v>22.494432071269486</v>
      </c>
    </row>
    <row r="581" spans="1:15" x14ac:dyDescent="0.35">
      <c r="A581">
        <v>580</v>
      </c>
      <c r="B581">
        <v>24</v>
      </c>
      <c r="C581" t="s">
        <v>12</v>
      </c>
      <c r="D581" t="s">
        <v>16</v>
      </c>
      <c r="E581" t="s">
        <v>30</v>
      </c>
      <c r="F581" t="s">
        <v>29</v>
      </c>
      <c r="G581">
        <v>3885</v>
      </c>
      <c r="H581">
        <v>258</v>
      </c>
      <c r="I581">
        <v>68</v>
      </c>
      <c r="J581" s="5">
        <v>7344</v>
      </c>
      <c r="K581" s="4">
        <v>243</v>
      </c>
      <c r="L581" s="6">
        <v>45749</v>
      </c>
      <c r="M581" s="7">
        <f t="shared" si="27"/>
        <v>6.6409266409266407E-2</v>
      </c>
      <c r="N581" s="7">
        <f t="shared" si="28"/>
        <v>0.26356589147286824</v>
      </c>
      <c r="O581" s="7">
        <f t="shared" si="29"/>
        <v>29.222222222222221</v>
      </c>
    </row>
    <row r="582" spans="1:15" x14ac:dyDescent="0.35">
      <c r="A582">
        <v>581</v>
      </c>
      <c r="B582">
        <v>40</v>
      </c>
      <c r="C582" t="s">
        <v>19</v>
      </c>
      <c r="D582" t="s">
        <v>27</v>
      </c>
      <c r="E582" t="s">
        <v>24</v>
      </c>
      <c r="F582" t="s">
        <v>31</v>
      </c>
      <c r="G582">
        <v>2425</v>
      </c>
      <c r="H582">
        <v>462</v>
      </c>
      <c r="I582">
        <v>62</v>
      </c>
      <c r="J582" s="5">
        <v>5890</v>
      </c>
      <c r="K582" s="4">
        <v>600</v>
      </c>
      <c r="L582" s="6">
        <v>45678</v>
      </c>
      <c r="M582" s="7">
        <f t="shared" si="27"/>
        <v>0.19051546391752577</v>
      </c>
      <c r="N582" s="7">
        <f t="shared" si="28"/>
        <v>0.13419913419913421</v>
      </c>
      <c r="O582" s="7">
        <f t="shared" si="29"/>
        <v>8.8166666666666664</v>
      </c>
    </row>
    <row r="583" spans="1:15" x14ac:dyDescent="0.35">
      <c r="A583">
        <v>582</v>
      </c>
      <c r="B583">
        <v>30</v>
      </c>
      <c r="C583" t="s">
        <v>12</v>
      </c>
      <c r="D583" t="s">
        <v>16</v>
      </c>
      <c r="E583" t="s">
        <v>28</v>
      </c>
      <c r="F583" t="s">
        <v>18</v>
      </c>
      <c r="G583">
        <v>1303</v>
      </c>
      <c r="H583">
        <v>294</v>
      </c>
      <c r="I583">
        <v>66</v>
      </c>
      <c r="J583" s="5">
        <v>10230</v>
      </c>
      <c r="K583" s="4">
        <v>1137</v>
      </c>
      <c r="L583" s="6">
        <v>45673</v>
      </c>
      <c r="M583" s="7">
        <f t="shared" si="27"/>
        <v>0.22563315425940139</v>
      </c>
      <c r="N583" s="7">
        <f t="shared" si="28"/>
        <v>0.22448979591836735</v>
      </c>
      <c r="O583" s="7">
        <f t="shared" si="29"/>
        <v>7.997361477572559</v>
      </c>
    </row>
    <row r="584" spans="1:15" x14ac:dyDescent="0.35">
      <c r="A584">
        <v>583</v>
      </c>
      <c r="B584">
        <v>19</v>
      </c>
      <c r="C584" t="s">
        <v>12</v>
      </c>
      <c r="D584" t="s">
        <v>20</v>
      </c>
      <c r="E584" t="s">
        <v>21</v>
      </c>
      <c r="F584" t="s">
        <v>18</v>
      </c>
      <c r="G584">
        <v>4091</v>
      </c>
      <c r="H584">
        <v>153</v>
      </c>
      <c r="I584">
        <v>63</v>
      </c>
      <c r="J584" s="5">
        <v>11844</v>
      </c>
      <c r="K584" s="4">
        <v>1263</v>
      </c>
      <c r="L584" s="6">
        <v>45701</v>
      </c>
      <c r="M584" s="7">
        <f t="shared" si="27"/>
        <v>3.7399168907357616E-2</v>
      </c>
      <c r="N584" s="7">
        <f t="shared" si="28"/>
        <v>0.41176470588235292</v>
      </c>
      <c r="O584" s="7">
        <f t="shared" si="29"/>
        <v>8.3776722090261284</v>
      </c>
    </row>
    <row r="585" spans="1:15" x14ac:dyDescent="0.35">
      <c r="A585">
        <v>584</v>
      </c>
      <c r="B585">
        <v>43</v>
      </c>
      <c r="C585" t="s">
        <v>12</v>
      </c>
      <c r="D585" t="s">
        <v>27</v>
      </c>
      <c r="E585" t="s">
        <v>14</v>
      </c>
      <c r="F585" t="s">
        <v>22</v>
      </c>
      <c r="G585">
        <v>4990</v>
      </c>
      <c r="H585">
        <v>256</v>
      </c>
      <c r="I585">
        <v>6</v>
      </c>
      <c r="J585" s="5">
        <v>546</v>
      </c>
      <c r="K585" s="4">
        <v>1401</v>
      </c>
      <c r="L585" s="6">
        <v>45675</v>
      </c>
      <c r="M585" s="7">
        <f t="shared" si="27"/>
        <v>5.1302605210420842E-2</v>
      </c>
      <c r="N585" s="7">
        <f t="shared" si="28"/>
        <v>2.34375E-2</v>
      </c>
      <c r="O585" s="7">
        <f t="shared" si="29"/>
        <v>-0.61027837259100648</v>
      </c>
    </row>
    <row r="586" spans="1:15" x14ac:dyDescent="0.35">
      <c r="A586">
        <v>585</v>
      </c>
      <c r="B586">
        <v>20</v>
      </c>
      <c r="C586" t="s">
        <v>19</v>
      </c>
      <c r="D586" t="s">
        <v>23</v>
      </c>
      <c r="E586" t="s">
        <v>28</v>
      </c>
      <c r="F586" t="s">
        <v>18</v>
      </c>
      <c r="G586">
        <v>883</v>
      </c>
      <c r="H586">
        <v>111</v>
      </c>
      <c r="I586">
        <v>42</v>
      </c>
      <c r="J586" s="5">
        <v>7980</v>
      </c>
      <c r="K586" s="4">
        <v>704</v>
      </c>
      <c r="L586" s="6">
        <v>45724</v>
      </c>
      <c r="M586" s="7">
        <f t="shared" si="27"/>
        <v>0.12570781426953567</v>
      </c>
      <c r="N586" s="7">
        <f t="shared" si="28"/>
        <v>0.3783783783783784</v>
      </c>
      <c r="O586" s="7">
        <f t="shared" si="29"/>
        <v>10.335227272727273</v>
      </c>
    </row>
    <row r="587" spans="1:15" x14ac:dyDescent="0.35">
      <c r="A587">
        <v>586</v>
      </c>
      <c r="B587">
        <v>49</v>
      </c>
      <c r="C587" t="s">
        <v>12</v>
      </c>
      <c r="D587" t="s">
        <v>16</v>
      </c>
      <c r="E587" t="s">
        <v>25</v>
      </c>
      <c r="F587" t="s">
        <v>18</v>
      </c>
      <c r="G587">
        <v>3793</v>
      </c>
      <c r="H587">
        <v>110</v>
      </c>
      <c r="I587">
        <v>5</v>
      </c>
      <c r="J587" s="5">
        <v>620</v>
      </c>
      <c r="K587" s="4">
        <v>1189</v>
      </c>
      <c r="L587" s="6">
        <v>45767</v>
      </c>
      <c r="M587" s="7">
        <f t="shared" si="27"/>
        <v>2.9000790930661744E-2</v>
      </c>
      <c r="N587" s="7">
        <f t="shared" si="28"/>
        <v>4.5454545454545456E-2</v>
      </c>
      <c r="O587" s="7">
        <f t="shared" si="29"/>
        <v>-0.47855340622371739</v>
      </c>
    </row>
    <row r="588" spans="1:15" x14ac:dyDescent="0.35">
      <c r="A588">
        <v>587</v>
      </c>
      <c r="B588">
        <v>32</v>
      </c>
      <c r="C588" t="s">
        <v>12</v>
      </c>
      <c r="D588" t="s">
        <v>20</v>
      </c>
      <c r="E588" t="s">
        <v>32</v>
      </c>
      <c r="F588" t="s">
        <v>31</v>
      </c>
      <c r="G588">
        <v>1422</v>
      </c>
      <c r="H588">
        <v>405</v>
      </c>
      <c r="I588">
        <v>11</v>
      </c>
      <c r="J588" s="5">
        <v>2002</v>
      </c>
      <c r="K588" s="4">
        <v>1809</v>
      </c>
      <c r="L588" s="6">
        <v>45753</v>
      </c>
      <c r="M588" s="7">
        <f t="shared" si="27"/>
        <v>0.2848101265822785</v>
      </c>
      <c r="N588" s="7">
        <f t="shared" si="28"/>
        <v>2.7160493827160494E-2</v>
      </c>
      <c r="O588" s="7">
        <f t="shared" si="29"/>
        <v>0.10668877833056938</v>
      </c>
    </row>
    <row r="589" spans="1:15" x14ac:dyDescent="0.35">
      <c r="A589">
        <v>588</v>
      </c>
      <c r="B589">
        <v>37</v>
      </c>
      <c r="C589" t="s">
        <v>19</v>
      </c>
      <c r="D589" t="s">
        <v>13</v>
      </c>
      <c r="E589" t="s">
        <v>34</v>
      </c>
      <c r="F589" t="s">
        <v>15</v>
      </c>
      <c r="G589">
        <v>2314</v>
      </c>
      <c r="H589">
        <v>424</v>
      </c>
      <c r="I589">
        <v>74</v>
      </c>
      <c r="J589" s="5">
        <v>13320</v>
      </c>
      <c r="K589" s="4">
        <v>1563</v>
      </c>
      <c r="L589" s="6">
        <v>45685</v>
      </c>
      <c r="M589" s="7">
        <f t="shared" si="27"/>
        <v>0.18323249783923942</v>
      </c>
      <c r="N589" s="7">
        <f t="shared" si="28"/>
        <v>0.17452830188679244</v>
      </c>
      <c r="O589" s="7">
        <f t="shared" si="29"/>
        <v>7.522072936660269</v>
      </c>
    </row>
    <row r="590" spans="1:15" x14ac:dyDescent="0.35">
      <c r="A590">
        <v>589</v>
      </c>
      <c r="B590">
        <v>23</v>
      </c>
      <c r="C590" t="s">
        <v>12</v>
      </c>
      <c r="D590" t="s">
        <v>23</v>
      </c>
      <c r="E590" t="s">
        <v>25</v>
      </c>
      <c r="F590" t="s">
        <v>18</v>
      </c>
      <c r="G590">
        <v>4987</v>
      </c>
      <c r="H590">
        <v>306</v>
      </c>
      <c r="I590">
        <v>41</v>
      </c>
      <c r="J590" s="5">
        <v>4141</v>
      </c>
      <c r="K590" s="4">
        <v>774</v>
      </c>
      <c r="L590" s="6">
        <v>45753</v>
      </c>
      <c r="M590" s="7">
        <f t="shared" si="27"/>
        <v>6.1359534790455181E-2</v>
      </c>
      <c r="N590" s="7">
        <f t="shared" si="28"/>
        <v>0.13398692810457516</v>
      </c>
      <c r="O590" s="7">
        <f t="shared" si="29"/>
        <v>4.3501291989664086</v>
      </c>
    </row>
    <row r="591" spans="1:15" x14ac:dyDescent="0.35">
      <c r="A591">
        <v>590</v>
      </c>
      <c r="B591">
        <v>23</v>
      </c>
      <c r="C591" t="s">
        <v>19</v>
      </c>
      <c r="D591" t="s">
        <v>26</v>
      </c>
      <c r="E591" t="s">
        <v>30</v>
      </c>
      <c r="F591" t="s">
        <v>15</v>
      </c>
      <c r="G591">
        <v>2040</v>
      </c>
      <c r="H591">
        <v>365</v>
      </c>
      <c r="I591">
        <v>50</v>
      </c>
      <c r="J591" s="5">
        <v>6350</v>
      </c>
      <c r="K591" s="4">
        <v>889</v>
      </c>
      <c r="L591" s="6">
        <v>45713</v>
      </c>
      <c r="M591" s="7">
        <f t="shared" si="27"/>
        <v>0.17892156862745098</v>
      </c>
      <c r="N591" s="7">
        <f t="shared" si="28"/>
        <v>0.13698630136986301</v>
      </c>
      <c r="O591" s="7">
        <f t="shared" si="29"/>
        <v>6.1428571428571432</v>
      </c>
    </row>
    <row r="592" spans="1:15" x14ac:dyDescent="0.35">
      <c r="A592">
        <v>591</v>
      </c>
      <c r="B592">
        <v>30</v>
      </c>
      <c r="C592" t="s">
        <v>19</v>
      </c>
      <c r="D592" t="s">
        <v>26</v>
      </c>
      <c r="E592" t="s">
        <v>28</v>
      </c>
      <c r="F592" t="s">
        <v>15</v>
      </c>
      <c r="G592">
        <v>865</v>
      </c>
      <c r="H592">
        <v>236</v>
      </c>
      <c r="I592">
        <v>33</v>
      </c>
      <c r="J592" s="5">
        <v>6039</v>
      </c>
      <c r="K592" s="4">
        <v>654</v>
      </c>
      <c r="L592" s="6">
        <v>45675</v>
      </c>
      <c r="M592" s="7">
        <f t="shared" si="27"/>
        <v>0.27283236994219651</v>
      </c>
      <c r="N592" s="7">
        <f t="shared" si="28"/>
        <v>0.13983050847457626</v>
      </c>
      <c r="O592" s="7">
        <f t="shared" si="29"/>
        <v>8.2339449541284395</v>
      </c>
    </row>
    <row r="593" spans="1:15" x14ac:dyDescent="0.35">
      <c r="A593">
        <v>592</v>
      </c>
      <c r="B593">
        <v>37</v>
      </c>
      <c r="C593" t="s">
        <v>19</v>
      </c>
      <c r="D593" t="s">
        <v>13</v>
      </c>
      <c r="E593" t="s">
        <v>21</v>
      </c>
      <c r="F593" t="s">
        <v>18</v>
      </c>
      <c r="G593">
        <v>2878</v>
      </c>
      <c r="H593">
        <v>231</v>
      </c>
      <c r="I593">
        <v>42</v>
      </c>
      <c r="J593" s="5">
        <v>4452</v>
      </c>
      <c r="K593" s="4">
        <v>887</v>
      </c>
      <c r="L593" s="6">
        <v>45724</v>
      </c>
      <c r="M593" s="7">
        <f t="shared" si="27"/>
        <v>8.0264072272411391E-2</v>
      </c>
      <c r="N593" s="7">
        <f t="shared" si="28"/>
        <v>0.18181818181818182</v>
      </c>
      <c r="O593" s="7">
        <f t="shared" si="29"/>
        <v>4.019165727170237</v>
      </c>
    </row>
    <row r="594" spans="1:15" x14ac:dyDescent="0.35">
      <c r="A594">
        <v>593</v>
      </c>
      <c r="B594">
        <v>33</v>
      </c>
      <c r="C594" t="s">
        <v>19</v>
      </c>
      <c r="D594" t="s">
        <v>23</v>
      </c>
      <c r="E594" t="s">
        <v>34</v>
      </c>
      <c r="F594" t="s">
        <v>31</v>
      </c>
      <c r="G594">
        <v>4960</v>
      </c>
      <c r="H594">
        <v>396</v>
      </c>
      <c r="I594">
        <v>39</v>
      </c>
      <c r="J594" s="5">
        <v>3666</v>
      </c>
      <c r="K594" s="4">
        <v>550</v>
      </c>
      <c r="L594" s="6">
        <v>45692</v>
      </c>
      <c r="M594" s="7">
        <f t="shared" si="27"/>
        <v>7.9838709677419351E-2</v>
      </c>
      <c r="N594" s="7">
        <f t="shared" si="28"/>
        <v>9.8484848484848481E-2</v>
      </c>
      <c r="O594" s="7">
        <f t="shared" si="29"/>
        <v>5.6654545454545451</v>
      </c>
    </row>
    <row r="595" spans="1:15" x14ac:dyDescent="0.35">
      <c r="A595">
        <v>594</v>
      </c>
      <c r="B595">
        <v>28</v>
      </c>
      <c r="C595" t="s">
        <v>12</v>
      </c>
      <c r="D595" t="s">
        <v>23</v>
      </c>
      <c r="E595" t="s">
        <v>25</v>
      </c>
      <c r="F595" t="s">
        <v>15</v>
      </c>
      <c r="G595">
        <v>3006</v>
      </c>
      <c r="H595">
        <v>236</v>
      </c>
      <c r="I595">
        <v>25</v>
      </c>
      <c r="J595" s="5">
        <v>3325</v>
      </c>
      <c r="K595" s="4">
        <v>698</v>
      </c>
      <c r="L595" s="6">
        <v>45692</v>
      </c>
      <c r="M595" s="7">
        <f t="shared" si="27"/>
        <v>7.8509647371922828E-2</v>
      </c>
      <c r="N595" s="7">
        <f t="shared" si="28"/>
        <v>0.1059322033898305</v>
      </c>
      <c r="O595" s="7">
        <f t="shared" si="29"/>
        <v>3.7636103151862463</v>
      </c>
    </row>
    <row r="596" spans="1:15" x14ac:dyDescent="0.35">
      <c r="A596">
        <v>595</v>
      </c>
      <c r="B596">
        <v>49</v>
      </c>
      <c r="C596" t="s">
        <v>19</v>
      </c>
      <c r="D596" t="s">
        <v>16</v>
      </c>
      <c r="E596" t="s">
        <v>32</v>
      </c>
      <c r="F596" t="s">
        <v>15</v>
      </c>
      <c r="G596">
        <v>665</v>
      </c>
      <c r="H596">
        <v>464</v>
      </c>
      <c r="I596">
        <v>28</v>
      </c>
      <c r="J596" s="5">
        <v>3584</v>
      </c>
      <c r="K596" s="4">
        <v>313</v>
      </c>
      <c r="L596" s="6">
        <v>45689</v>
      </c>
      <c r="M596" s="7">
        <f t="shared" si="27"/>
        <v>0.69774436090225567</v>
      </c>
      <c r="N596" s="7">
        <f t="shared" si="28"/>
        <v>6.0344827586206899E-2</v>
      </c>
      <c r="O596" s="7">
        <f t="shared" si="29"/>
        <v>10.450479233226837</v>
      </c>
    </row>
    <row r="597" spans="1:15" x14ac:dyDescent="0.35">
      <c r="A597">
        <v>596</v>
      </c>
      <c r="B597">
        <v>33</v>
      </c>
      <c r="C597" t="s">
        <v>19</v>
      </c>
      <c r="D597" t="s">
        <v>23</v>
      </c>
      <c r="E597" t="s">
        <v>25</v>
      </c>
      <c r="F597" t="s">
        <v>22</v>
      </c>
      <c r="G597">
        <v>4339</v>
      </c>
      <c r="H597">
        <v>284</v>
      </c>
      <c r="I597">
        <v>62</v>
      </c>
      <c r="J597" s="5">
        <v>5084</v>
      </c>
      <c r="K597" s="4">
        <v>1578</v>
      </c>
      <c r="L597" s="6">
        <v>45742</v>
      </c>
      <c r="M597" s="7">
        <f t="shared" si="27"/>
        <v>6.5452869324729199E-2</v>
      </c>
      <c r="N597" s="7">
        <f t="shared" si="28"/>
        <v>0.21830985915492956</v>
      </c>
      <c r="O597" s="7">
        <f t="shared" si="29"/>
        <v>2.2217997465145753</v>
      </c>
    </row>
    <row r="598" spans="1:15" x14ac:dyDescent="0.35">
      <c r="A598">
        <v>597</v>
      </c>
      <c r="B598">
        <v>46</v>
      </c>
      <c r="C598" t="s">
        <v>19</v>
      </c>
      <c r="D598" t="s">
        <v>16</v>
      </c>
      <c r="E598" t="s">
        <v>24</v>
      </c>
      <c r="F598" t="s">
        <v>22</v>
      </c>
      <c r="G598">
        <v>3696</v>
      </c>
      <c r="H598">
        <v>187</v>
      </c>
      <c r="I598">
        <v>29</v>
      </c>
      <c r="J598" s="5">
        <v>4060</v>
      </c>
      <c r="K598" s="4">
        <v>267</v>
      </c>
      <c r="L598" s="6">
        <v>45700</v>
      </c>
      <c r="M598" s="7">
        <f t="shared" si="27"/>
        <v>5.0595238095238096E-2</v>
      </c>
      <c r="N598" s="7">
        <f t="shared" si="28"/>
        <v>0.15508021390374332</v>
      </c>
      <c r="O598" s="7">
        <f t="shared" si="29"/>
        <v>14.205992509363297</v>
      </c>
    </row>
    <row r="599" spans="1:15" x14ac:dyDescent="0.35">
      <c r="A599">
        <v>598</v>
      </c>
      <c r="B599">
        <v>37</v>
      </c>
      <c r="C599" t="s">
        <v>19</v>
      </c>
      <c r="D599" t="s">
        <v>13</v>
      </c>
      <c r="E599" t="s">
        <v>24</v>
      </c>
      <c r="F599" t="s">
        <v>15</v>
      </c>
      <c r="G599">
        <v>4021</v>
      </c>
      <c r="H599">
        <v>123</v>
      </c>
      <c r="I599">
        <v>65</v>
      </c>
      <c r="J599" s="5">
        <v>6760</v>
      </c>
      <c r="K599" s="4">
        <v>1138</v>
      </c>
      <c r="L599" s="6">
        <v>45744</v>
      </c>
      <c r="M599" s="7">
        <f t="shared" si="27"/>
        <v>3.0589405620492414E-2</v>
      </c>
      <c r="N599" s="7">
        <f t="shared" si="28"/>
        <v>0.52845528455284552</v>
      </c>
      <c r="O599" s="7">
        <f t="shared" si="29"/>
        <v>4.9402460456942006</v>
      </c>
    </row>
    <row r="600" spans="1:15" x14ac:dyDescent="0.35">
      <c r="A600">
        <v>599</v>
      </c>
      <c r="B600">
        <v>22</v>
      </c>
      <c r="C600" t="s">
        <v>12</v>
      </c>
      <c r="D600" t="s">
        <v>26</v>
      </c>
      <c r="E600" t="s">
        <v>24</v>
      </c>
      <c r="F600" t="s">
        <v>22</v>
      </c>
      <c r="G600">
        <v>1150</v>
      </c>
      <c r="H600">
        <v>159</v>
      </c>
      <c r="I600">
        <v>59</v>
      </c>
      <c r="J600" s="5">
        <v>8732</v>
      </c>
      <c r="K600" s="4">
        <v>739</v>
      </c>
      <c r="L600" s="6">
        <v>45678</v>
      </c>
      <c r="M600" s="7">
        <f t="shared" si="27"/>
        <v>0.13826086956521738</v>
      </c>
      <c r="N600" s="7">
        <f t="shared" si="28"/>
        <v>0.37106918238993708</v>
      </c>
      <c r="O600" s="7">
        <f t="shared" si="29"/>
        <v>10.81596752368065</v>
      </c>
    </row>
    <row r="601" spans="1:15" x14ac:dyDescent="0.35">
      <c r="A601">
        <v>600</v>
      </c>
      <c r="B601">
        <v>37</v>
      </c>
      <c r="C601" t="s">
        <v>19</v>
      </c>
      <c r="D601" t="s">
        <v>16</v>
      </c>
      <c r="E601" t="s">
        <v>28</v>
      </c>
      <c r="F601" t="s">
        <v>22</v>
      </c>
      <c r="G601">
        <v>3327</v>
      </c>
      <c r="H601">
        <v>99</v>
      </c>
      <c r="I601">
        <v>8</v>
      </c>
      <c r="J601" s="5">
        <v>1536</v>
      </c>
      <c r="K601" s="4">
        <v>1981</v>
      </c>
      <c r="L601" s="6">
        <v>45682</v>
      </c>
      <c r="M601" s="7">
        <f t="shared" si="27"/>
        <v>2.9756537421100092E-2</v>
      </c>
      <c r="N601" s="7">
        <f t="shared" si="28"/>
        <v>8.0808080808080815E-2</v>
      </c>
      <c r="O601" s="7">
        <f t="shared" si="29"/>
        <v>-0.22463402322059567</v>
      </c>
    </row>
    <row r="602" spans="1:15" x14ac:dyDescent="0.35">
      <c r="A602">
        <v>601</v>
      </c>
      <c r="B602">
        <v>44</v>
      </c>
      <c r="C602" t="s">
        <v>19</v>
      </c>
      <c r="D602" t="s">
        <v>26</v>
      </c>
      <c r="E602" t="s">
        <v>14</v>
      </c>
      <c r="F602" t="s">
        <v>15</v>
      </c>
      <c r="G602">
        <v>1537</v>
      </c>
      <c r="H602">
        <v>252</v>
      </c>
      <c r="I602">
        <v>36</v>
      </c>
      <c r="J602" s="5">
        <v>3492</v>
      </c>
      <c r="K602" s="4">
        <v>388</v>
      </c>
      <c r="L602" s="6">
        <v>45711</v>
      </c>
      <c r="M602" s="7">
        <f t="shared" si="27"/>
        <v>0.16395575797007156</v>
      </c>
      <c r="N602" s="7">
        <f t="shared" si="28"/>
        <v>0.14285714285714285</v>
      </c>
      <c r="O602" s="7">
        <f t="shared" si="29"/>
        <v>8</v>
      </c>
    </row>
    <row r="603" spans="1:15" x14ac:dyDescent="0.35">
      <c r="A603">
        <v>602</v>
      </c>
      <c r="B603">
        <v>42</v>
      </c>
      <c r="C603" t="s">
        <v>12</v>
      </c>
      <c r="D603" t="s">
        <v>26</v>
      </c>
      <c r="E603" t="s">
        <v>30</v>
      </c>
      <c r="F603" t="s">
        <v>15</v>
      </c>
      <c r="G603">
        <v>1598</v>
      </c>
      <c r="H603">
        <v>326</v>
      </c>
      <c r="I603">
        <v>48</v>
      </c>
      <c r="J603" s="5">
        <v>7968</v>
      </c>
      <c r="K603" s="4">
        <v>1868</v>
      </c>
      <c r="L603" s="6">
        <v>45711</v>
      </c>
      <c r="M603" s="7">
        <f t="shared" si="27"/>
        <v>0.20400500625782228</v>
      </c>
      <c r="N603" s="7">
        <f t="shared" si="28"/>
        <v>0.14723926380368099</v>
      </c>
      <c r="O603" s="7">
        <f t="shared" si="29"/>
        <v>3.2655246252676657</v>
      </c>
    </row>
    <row r="604" spans="1:15" x14ac:dyDescent="0.35">
      <c r="A604">
        <v>603</v>
      </c>
      <c r="B604">
        <v>21</v>
      </c>
      <c r="C604" t="s">
        <v>19</v>
      </c>
      <c r="D604" t="s">
        <v>27</v>
      </c>
      <c r="E604" t="s">
        <v>34</v>
      </c>
      <c r="F604" t="s">
        <v>29</v>
      </c>
      <c r="G604">
        <v>3005</v>
      </c>
      <c r="H604">
        <v>455</v>
      </c>
      <c r="I604">
        <v>69</v>
      </c>
      <c r="J604" s="5">
        <v>10350</v>
      </c>
      <c r="K604" s="4">
        <v>1287</v>
      </c>
      <c r="L604" s="6">
        <v>45672</v>
      </c>
      <c r="M604" s="7">
        <f t="shared" si="27"/>
        <v>0.15141430948419302</v>
      </c>
      <c r="N604" s="7">
        <f t="shared" si="28"/>
        <v>0.15164835164835164</v>
      </c>
      <c r="O604" s="7">
        <f t="shared" si="29"/>
        <v>7.0419580419580416</v>
      </c>
    </row>
    <row r="605" spans="1:15" x14ac:dyDescent="0.35">
      <c r="A605">
        <v>604</v>
      </c>
      <c r="B605">
        <v>31</v>
      </c>
      <c r="C605" t="s">
        <v>19</v>
      </c>
      <c r="D605" t="s">
        <v>20</v>
      </c>
      <c r="E605" t="s">
        <v>33</v>
      </c>
      <c r="F605" t="s">
        <v>15</v>
      </c>
      <c r="G605">
        <v>1115</v>
      </c>
      <c r="H605">
        <v>455</v>
      </c>
      <c r="I605">
        <v>51</v>
      </c>
      <c r="J605" s="5">
        <v>8772</v>
      </c>
      <c r="K605" s="4">
        <v>920</v>
      </c>
      <c r="L605" s="6">
        <v>45677</v>
      </c>
      <c r="M605" s="7">
        <f t="shared" si="27"/>
        <v>0.40807174887892378</v>
      </c>
      <c r="N605" s="7">
        <f t="shared" si="28"/>
        <v>0.11208791208791209</v>
      </c>
      <c r="O605" s="7">
        <f t="shared" si="29"/>
        <v>8.534782608695652</v>
      </c>
    </row>
    <row r="606" spans="1:15" x14ac:dyDescent="0.35">
      <c r="A606">
        <v>605</v>
      </c>
      <c r="B606">
        <v>29</v>
      </c>
      <c r="C606" t="s">
        <v>12</v>
      </c>
      <c r="D606" t="s">
        <v>20</v>
      </c>
      <c r="E606" t="s">
        <v>17</v>
      </c>
      <c r="F606" t="s">
        <v>31</v>
      </c>
      <c r="G606">
        <v>1635</v>
      </c>
      <c r="H606">
        <v>466</v>
      </c>
      <c r="I606">
        <v>63</v>
      </c>
      <c r="J606" s="5">
        <v>9954</v>
      </c>
      <c r="K606" s="4">
        <v>1266</v>
      </c>
      <c r="L606" s="6">
        <v>45775</v>
      </c>
      <c r="M606" s="7">
        <f t="shared" si="27"/>
        <v>0.28501529051987767</v>
      </c>
      <c r="N606" s="7">
        <f t="shared" si="28"/>
        <v>0.13519313304721031</v>
      </c>
      <c r="O606" s="7">
        <f t="shared" si="29"/>
        <v>6.8625592417061609</v>
      </c>
    </row>
    <row r="607" spans="1:15" x14ac:dyDescent="0.35">
      <c r="A607">
        <v>606</v>
      </c>
      <c r="B607">
        <v>30</v>
      </c>
      <c r="C607" t="s">
        <v>19</v>
      </c>
      <c r="D607" t="s">
        <v>13</v>
      </c>
      <c r="E607" t="s">
        <v>33</v>
      </c>
      <c r="F607" t="s">
        <v>18</v>
      </c>
      <c r="G607">
        <v>3190</v>
      </c>
      <c r="H607">
        <v>205</v>
      </c>
      <c r="I607">
        <v>60</v>
      </c>
      <c r="J607" s="5">
        <v>10380</v>
      </c>
      <c r="K607" s="4">
        <v>289</v>
      </c>
      <c r="L607" s="6">
        <v>45694</v>
      </c>
      <c r="M607" s="7">
        <f t="shared" si="27"/>
        <v>6.4263322884012541E-2</v>
      </c>
      <c r="N607" s="7">
        <f t="shared" si="28"/>
        <v>0.29268292682926828</v>
      </c>
      <c r="O607" s="7">
        <f t="shared" si="29"/>
        <v>34.916955017301035</v>
      </c>
    </row>
    <row r="608" spans="1:15" x14ac:dyDescent="0.35">
      <c r="A608">
        <v>607</v>
      </c>
      <c r="B608">
        <v>28</v>
      </c>
      <c r="C608" t="s">
        <v>12</v>
      </c>
      <c r="D608" t="s">
        <v>27</v>
      </c>
      <c r="E608" t="s">
        <v>17</v>
      </c>
      <c r="F608" t="s">
        <v>18</v>
      </c>
      <c r="G608">
        <v>1444</v>
      </c>
      <c r="H608">
        <v>279</v>
      </c>
      <c r="I608">
        <v>70</v>
      </c>
      <c r="J608" s="5">
        <v>7350</v>
      </c>
      <c r="K608" s="4">
        <v>1661</v>
      </c>
      <c r="L608" s="6">
        <v>45765</v>
      </c>
      <c r="M608" s="7">
        <f t="shared" si="27"/>
        <v>0.19321329639889195</v>
      </c>
      <c r="N608" s="7">
        <f t="shared" si="28"/>
        <v>0.25089605734767023</v>
      </c>
      <c r="O608" s="7">
        <f t="shared" si="29"/>
        <v>3.4250451535219746</v>
      </c>
    </row>
    <row r="609" spans="1:15" x14ac:dyDescent="0.35">
      <c r="A609">
        <v>608</v>
      </c>
      <c r="B609">
        <v>43</v>
      </c>
      <c r="C609" t="s">
        <v>12</v>
      </c>
      <c r="D609" t="s">
        <v>20</v>
      </c>
      <c r="E609" t="s">
        <v>34</v>
      </c>
      <c r="F609" t="s">
        <v>18</v>
      </c>
      <c r="G609">
        <v>4382</v>
      </c>
      <c r="H609">
        <v>199</v>
      </c>
      <c r="I609">
        <v>24</v>
      </c>
      <c r="J609" s="5">
        <v>2592</v>
      </c>
      <c r="K609" s="4">
        <v>1231</v>
      </c>
      <c r="L609" s="6">
        <v>45741</v>
      </c>
      <c r="M609" s="7">
        <f t="shared" si="27"/>
        <v>4.5413053400273851E-2</v>
      </c>
      <c r="N609" s="7">
        <f t="shared" si="28"/>
        <v>0.12060301507537688</v>
      </c>
      <c r="O609" s="7">
        <f t="shared" si="29"/>
        <v>1.1056051990251827</v>
      </c>
    </row>
    <row r="610" spans="1:15" x14ac:dyDescent="0.35">
      <c r="A610">
        <v>609</v>
      </c>
      <c r="B610">
        <v>44</v>
      </c>
      <c r="C610" t="s">
        <v>12</v>
      </c>
      <c r="D610" t="s">
        <v>16</v>
      </c>
      <c r="E610" t="s">
        <v>25</v>
      </c>
      <c r="F610" t="s">
        <v>15</v>
      </c>
      <c r="G610">
        <v>1441</v>
      </c>
      <c r="H610">
        <v>367</v>
      </c>
      <c r="I610">
        <v>11</v>
      </c>
      <c r="J610" s="5">
        <v>1364</v>
      </c>
      <c r="K610" s="4">
        <v>1175</v>
      </c>
      <c r="L610" s="6">
        <v>45744</v>
      </c>
      <c r="M610" s="7">
        <f t="shared" si="27"/>
        <v>0.25468424705065928</v>
      </c>
      <c r="N610" s="7">
        <f t="shared" si="28"/>
        <v>2.9972752043596729E-2</v>
      </c>
      <c r="O610" s="7">
        <f t="shared" si="29"/>
        <v>0.16085106382978723</v>
      </c>
    </row>
    <row r="611" spans="1:15" x14ac:dyDescent="0.35">
      <c r="A611">
        <v>610</v>
      </c>
      <c r="B611">
        <v>54</v>
      </c>
      <c r="C611" t="s">
        <v>19</v>
      </c>
      <c r="D611" t="s">
        <v>16</v>
      </c>
      <c r="E611" t="s">
        <v>21</v>
      </c>
      <c r="F611" t="s">
        <v>18</v>
      </c>
      <c r="G611">
        <v>3827</v>
      </c>
      <c r="H611">
        <v>122</v>
      </c>
      <c r="I611">
        <v>39</v>
      </c>
      <c r="J611" s="5">
        <v>6357</v>
      </c>
      <c r="K611" s="4">
        <v>378</v>
      </c>
      <c r="L611" s="6">
        <v>45738</v>
      </c>
      <c r="M611" s="7">
        <f t="shared" si="27"/>
        <v>3.1878756205905412E-2</v>
      </c>
      <c r="N611" s="7">
        <f t="shared" si="28"/>
        <v>0.31967213114754101</v>
      </c>
      <c r="O611" s="7">
        <f t="shared" si="29"/>
        <v>15.817460317460318</v>
      </c>
    </row>
    <row r="612" spans="1:15" x14ac:dyDescent="0.35">
      <c r="A612">
        <v>611</v>
      </c>
      <c r="B612">
        <v>48</v>
      </c>
      <c r="C612" t="s">
        <v>19</v>
      </c>
      <c r="D612" t="s">
        <v>26</v>
      </c>
      <c r="E612" t="s">
        <v>25</v>
      </c>
      <c r="F612" t="s">
        <v>29</v>
      </c>
      <c r="G612">
        <v>3794</v>
      </c>
      <c r="H612">
        <v>168</v>
      </c>
      <c r="I612">
        <v>61</v>
      </c>
      <c r="J612" s="5">
        <v>9638</v>
      </c>
      <c r="K612" s="4">
        <v>1487</v>
      </c>
      <c r="L612" s="6">
        <v>45751</v>
      </c>
      <c r="M612" s="7">
        <f t="shared" si="27"/>
        <v>4.4280442804428041E-2</v>
      </c>
      <c r="N612" s="7">
        <f t="shared" si="28"/>
        <v>0.36309523809523808</v>
      </c>
      <c r="O612" s="7">
        <f t="shared" si="29"/>
        <v>5.4815063887020852</v>
      </c>
    </row>
    <row r="613" spans="1:15" x14ac:dyDescent="0.35">
      <c r="A613">
        <v>612</v>
      </c>
      <c r="B613">
        <v>36</v>
      </c>
      <c r="C613" t="s">
        <v>12</v>
      </c>
      <c r="D613" t="s">
        <v>26</v>
      </c>
      <c r="E613" t="s">
        <v>33</v>
      </c>
      <c r="F613" t="s">
        <v>22</v>
      </c>
      <c r="G613">
        <v>4356</v>
      </c>
      <c r="H613">
        <v>113</v>
      </c>
      <c r="I613">
        <v>46</v>
      </c>
      <c r="J613" s="5">
        <v>4968</v>
      </c>
      <c r="K613" s="4">
        <v>1573</v>
      </c>
      <c r="L613" s="6">
        <v>45707</v>
      </c>
      <c r="M613" s="7">
        <f t="shared" si="27"/>
        <v>2.5941230486685032E-2</v>
      </c>
      <c r="N613" s="7">
        <f t="shared" si="28"/>
        <v>0.40707964601769914</v>
      </c>
      <c r="O613" s="7">
        <f t="shared" si="29"/>
        <v>2.1582962492053399</v>
      </c>
    </row>
    <row r="614" spans="1:15" x14ac:dyDescent="0.35">
      <c r="A614">
        <v>613</v>
      </c>
      <c r="B614">
        <v>41</v>
      </c>
      <c r="C614" t="s">
        <v>12</v>
      </c>
      <c r="D614" t="s">
        <v>16</v>
      </c>
      <c r="E614" t="s">
        <v>21</v>
      </c>
      <c r="F614" t="s">
        <v>29</v>
      </c>
      <c r="G614">
        <v>1594</v>
      </c>
      <c r="H614">
        <v>413</v>
      </c>
      <c r="I614">
        <v>62</v>
      </c>
      <c r="J614" s="5">
        <v>6138</v>
      </c>
      <c r="K614" s="4">
        <v>962</v>
      </c>
      <c r="L614" s="6">
        <v>45689</v>
      </c>
      <c r="M614" s="7">
        <f t="shared" si="27"/>
        <v>0.25909661229611042</v>
      </c>
      <c r="N614" s="7">
        <f t="shared" si="28"/>
        <v>0.15012106537530268</v>
      </c>
      <c r="O614" s="7">
        <f t="shared" si="29"/>
        <v>5.3804573804573801</v>
      </c>
    </row>
    <row r="615" spans="1:15" x14ac:dyDescent="0.35">
      <c r="A615">
        <v>614</v>
      </c>
      <c r="B615">
        <v>25</v>
      </c>
      <c r="C615" t="s">
        <v>12</v>
      </c>
      <c r="D615" t="s">
        <v>23</v>
      </c>
      <c r="E615" t="s">
        <v>17</v>
      </c>
      <c r="F615" t="s">
        <v>18</v>
      </c>
      <c r="G615">
        <v>3655</v>
      </c>
      <c r="H615">
        <v>436</v>
      </c>
      <c r="I615">
        <v>41</v>
      </c>
      <c r="J615" s="5">
        <v>4879</v>
      </c>
      <c r="K615" s="4">
        <v>1861</v>
      </c>
      <c r="L615" s="6">
        <v>45765</v>
      </c>
      <c r="M615" s="7">
        <f t="shared" si="27"/>
        <v>0.11928864569083447</v>
      </c>
      <c r="N615" s="7">
        <f t="shared" si="28"/>
        <v>9.4036697247706427E-2</v>
      </c>
      <c r="O615" s="7">
        <f t="shared" si="29"/>
        <v>1.6217087587318646</v>
      </c>
    </row>
    <row r="616" spans="1:15" x14ac:dyDescent="0.35">
      <c r="A616">
        <v>615</v>
      </c>
      <c r="B616">
        <v>25</v>
      </c>
      <c r="C616" t="s">
        <v>12</v>
      </c>
      <c r="D616" t="s">
        <v>27</v>
      </c>
      <c r="E616" t="s">
        <v>17</v>
      </c>
      <c r="F616" t="s">
        <v>31</v>
      </c>
      <c r="G616">
        <v>2603</v>
      </c>
      <c r="H616">
        <v>456</v>
      </c>
      <c r="I616">
        <v>15</v>
      </c>
      <c r="J616" s="5">
        <v>2145</v>
      </c>
      <c r="K616" s="4">
        <v>309</v>
      </c>
      <c r="L616" s="6">
        <v>45717</v>
      </c>
      <c r="M616" s="7">
        <f t="shared" si="27"/>
        <v>0.17518248175182483</v>
      </c>
      <c r="N616" s="7">
        <f t="shared" si="28"/>
        <v>3.2894736842105261E-2</v>
      </c>
      <c r="O616" s="7">
        <f t="shared" si="29"/>
        <v>5.941747572815534</v>
      </c>
    </row>
    <row r="617" spans="1:15" x14ac:dyDescent="0.35">
      <c r="A617">
        <v>616</v>
      </c>
      <c r="B617">
        <v>30</v>
      </c>
      <c r="C617" t="s">
        <v>19</v>
      </c>
      <c r="D617" t="s">
        <v>16</v>
      </c>
      <c r="E617" t="s">
        <v>32</v>
      </c>
      <c r="F617" t="s">
        <v>22</v>
      </c>
      <c r="G617">
        <v>1149</v>
      </c>
      <c r="H617">
        <v>88</v>
      </c>
      <c r="I617">
        <v>32</v>
      </c>
      <c r="J617" s="5">
        <v>3680</v>
      </c>
      <c r="K617" s="4">
        <v>1272</v>
      </c>
      <c r="L617" s="6">
        <v>45758</v>
      </c>
      <c r="M617" s="7">
        <f t="shared" si="27"/>
        <v>7.6588337684943428E-2</v>
      </c>
      <c r="N617" s="7">
        <f t="shared" si="28"/>
        <v>0.36363636363636365</v>
      </c>
      <c r="O617" s="7">
        <f t="shared" si="29"/>
        <v>1.8930817610062893</v>
      </c>
    </row>
    <row r="618" spans="1:15" x14ac:dyDescent="0.35">
      <c r="A618">
        <v>617</v>
      </c>
      <c r="B618">
        <v>41</v>
      </c>
      <c r="C618" t="s">
        <v>12</v>
      </c>
      <c r="D618" t="s">
        <v>13</v>
      </c>
      <c r="E618" t="s">
        <v>17</v>
      </c>
      <c r="F618" t="s">
        <v>15</v>
      </c>
      <c r="G618">
        <v>4365</v>
      </c>
      <c r="H618">
        <v>135</v>
      </c>
      <c r="I618">
        <v>8</v>
      </c>
      <c r="J618" s="5">
        <v>1288</v>
      </c>
      <c r="K618" s="4">
        <v>1446</v>
      </c>
      <c r="L618" s="6">
        <v>45744</v>
      </c>
      <c r="M618" s="7">
        <f t="shared" si="27"/>
        <v>3.0927835051546393E-2</v>
      </c>
      <c r="N618" s="7">
        <f t="shared" si="28"/>
        <v>5.9259259259259262E-2</v>
      </c>
      <c r="O618" s="7">
        <f t="shared" si="29"/>
        <v>-0.10926694329183956</v>
      </c>
    </row>
    <row r="619" spans="1:15" x14ac:dyDescent="0.35">
      <c r="A619">
        <v>618</v>
      </c>
      <c r="B619">
        <v>22</v>
      </c>
      <c r="C619" t="s">
        <v>19</v>
      </c>
      <c r="D619" t="s">
        <v>13</v>
      </c>
      <c r="E619" t="s">
        <v>28</v>
      </c>
      <c r="F619" t="s">
        <v>15</v>
      </c>
      <c r="G619">
        <v>4213</v>
      </c>
      <c r="H619">
        <v>80</v>
      </c>
      <c r="I619">
        <v>15</v>
      </c>
      <c r="J619" s="5">
        <v>2625</v>
      </c>
      <c r="K619" s="4">
        <v>1525</v>
      </c>
      <c r="L619" s="6">
        <v>45667</v>
      </c>
      <c r="M619" s="7">
        <f t="shared" si="27"/>
        <v>1.8988844054118204E-2</v>
      </c>
      <c r="N619" s="7">
        <f t="shared" si="28"/>
        <v>0.1875</v>
      </c>
      <c r="O619" s="7">
        <f t="shared" si="29"/>
        <v>0.72131147540983609</v>
      </c>
    </row>
    <row r="620" spans="1:15" x14ac:dyDescent="0.35">
      <c r="A620">
        <v>619</v>
      </c>
      <c r="B620">
        <v>40</v>
      </c>
      <c r="C620" t="s">
        <v>19</v>
      </c>
      <c r="D620" t="s">
        <v>16</v>
      </c>
      <c r="E620" t="s">
        <v>34</v>
      </c>
      <c r="F620" t="s">
        <v>29</v>
      </c>
      <c r="G620">
        <v>1947</v>
      </c>
      <c r="H620">
        <v>177</v>
      </c>
      <c r="I620">
        <v>28</v>
      </c>
      <c r="J620" s="5">
        <v>3444</v>
      </c>
      <c r="K620" s="4">
        <v>1578</v>
      </c>
      <c r="L620" s="6">
        <v>45722</v>
      </c>
      <c r="M620" s="7">
        <f t="shared" si="27"/>
        <v>9.0909090909090912E-2</v>
      </c>
      <c r="N620" s="7">
        <f t="shared" si="28"/>
        <v>0.15819209039548024</v>
      </c>
      <c r="O620" s="7">
        <f t="shared" si="29"/>
        <v>1.1825095057034221</v>
      </c>
    </row>
    <row r="621" spans="1:15" x14ac:dyDescent="0.35">
      <c r="A621">
        <v>620</v>
      </c>
      <c r="B621">
        <v>51</v>
      </c>
      <c r="C621" t="s">
        <v>19</v>
      </c>
      <c r="D621" t="s">
        <v>20</v>
      </c>
      <c r="E621" t="s">
        <v>30</v>
      </c>
      <c r="F621" t="s">
        <v>15</v>
      </c>
      <c r="G621">
        <v>3818</v>
      </c>
      <c r="H621">
        <v>272</v>
      </c>
      <c r="I621">
        <v>61</v>
      </c>
      <c r="J621" s="5">
        <v>11285</v>
      </c>
      <c r="K621" s="4">
        <v>1662</v>
      </c>
      <c r="L621" s="6">
        <v>45679</v>
      </c>
      <c r="M621" s="7">
        <f t="shared" si="27"/>
        <v>7.1241487689889998E-2</v>
      </c>
      <c r="N621" s="7">
        <f t="shared" si="28"/>
        <v>0.22426470588235295</v>
      </c>
      <c r="O621" s="7">
        <f t="shared" si="29"/>
        <v>5.7900120336943441</v>
      </c>
    </row>
    <row r="622" spans="1:15" x14ac:dyDescent="0.35">
      <c r="A622">
        <v>621</v>
      </c>
      <c r="B622">
        <v>32</v>
      </c>
      <c r="C622" t="s">
        <v>12</v>
      </c>
      <c r="D622" t="s">
        <v>13</v>
      </c>
      <c r="E622" t="s">
        <v>14</v>
      </c>
      <c r="F622" t="s">
        <v>18</v>
      </c>
      <c r="G622">
        <v>1187</v>
      </c>
      <c r="H622">
        <v>67</v>
      </c>
      <c r="I622">
        <v>44</v>
      </c>
      <c r="J622" s="5">
        <v>8140</v>
      </c>
      <c r="K622" s="4">
        <v>1622</v>
      </c>
      <c r="L622" s="6">
        <v>45696</v>
      </c>
      <c r="M622" s="7">
        <f t="shared" si="27"/>
        <v>5.6444818871103621E-2</v>
      </c>
      <c r="N622" s="7">
        <f t="shared" si="28"/>
        <v>0.65671641791044777</v>
      </c>
      <c r="O622" s="7">
        <f t="shared" si="29"/>
        <v>4.018495684340321</v>
      </c>
    </row>
    <row r="623" spans="1:15" x14ac:dyDescent="0.35">
      <c r="A623">
        <v>622</v>
      </c>
      <c r="B623">
        <v>43</v>
      </c>
      <c r="C623" t="s">
        <v>19</v>
      </c>
      <c r="D623" t="s">
        <v>23</v>
      </c>
      <c r="E623" t="s">
        <v>25</v>
      </c>
      <c r="F623" t="s">
        <v>29</v>
      </c>
      <c r="G623">
        <v>3396</v>
      </c>
      <c r="H623">
        <v>81</v>
      </c>
      <c r="I623">
        <v>13</v>
      </c>
      <c r="J623" s="5">
        <v>1287</v>
      </c>
      <c r="K623" s="4">
        <v>239</v>
      </c>
      <c r="L623" s="6">
        <v>45739</v>
      </c>
      <c r="M623" s="7">
        <f t="shared" si="27"/>
        <v>2.3851590106007067E-2</v>
      </c>
      <c r="N623" s="7">
        <f t="shared" si="28"/>
        <v>0.16049382716049382</v>
      </c>
      <c r="O623" s="7">
        <f t="shared" si="29"/>
        <v>4.3849372384937242</v>
      </c>
    </row>
    <row r="624" spans="1:15" x14ac:dyDescent="0.35">
      <c r="A624">
        <v>623</v>
      </c>
      <c r="B624">
        <v>36</v>
      </c>
      <c r="C624" t="s">
        <v>19</v>
      </c>
      <c r="D624" t="s">
        <v>13</v>
      </c>
      <c r="E624" t="s">
        <v>14</v>
      </c>
      <c r="F624" t="s">
        <v>15</v>
      </c>
      <c r="G624">
        <v>1344</v>
      </c>
      <c r="H624">
        <v>257</v>
      </c>
      <c r="I624">
        <v>77</v>
      </c>
      <c r="J624" s="5">
        <v>11935</v>
      </c>
      <c r="K624" s="4">
        <v>646</v>
      </c>
      <c r="L624" s="6">
        <v>45756</v>
      </c>
      <c r="M624" s="7">
        <f t="shared" si="27"/>
        <v>0.19122023809523808</v>
      </c>
      <c r="N624" s="7">
        <f t="shared" si="28"/>
        <v>0.29961089494163423</v>
      </c>
      <c r="O624" s="7">
        <f t="shared" si="29"/>
        <v>17.475232198142415</v>
      </c>
    </row>
    <row r="625" spans="1:15" x14ac:dyDescent="0.35">
      <c r="A625">
        <v>624</v>
      </c>
      <c r="B625">
        <v>21</v>
      </c>
      <c r="C625" t="s">
        <v>19</v>
      </c>
      <c r="D625" t="s">
        <v>27</v>
      </c>
      <c r="E625" t="s">
        <v>30</v>
      </c>
      <c r="F625" t="s">
        <v>29</v>
      </c>
      <c r="G625">
        <v>4643</v>
      </c>
      <c r="H625">
        <v>67</v>
      </c>
      <c r="I625">
        <v>20</v>
      </c>
      <c r="J625" s="5">
        <v>2360</v>
      </c>
      <c r="K625" s="4">
        <v>1662</v>
      </c>
      <c r="L625" s="6">
        <v>45753</v>
      </c>
      <c r="M625" s="7">
        <f t="shared" si="27"/>
        <v>1.4430325220762439E-2</v>
      </c>
      <c r="N625" s="7">
        <f t="shared" si="28"/>
        <v>0.29850746268656714</v>
      </c>
      <c r="O625" s="7">
        <f t="shared" si="29"/>
        <v>0.41997593261131166</v>
      </c>
    </row>
    <row r="626" spans="1:15" x14ac:dyDescent="0.35">
      <c r="A626">
        <v>625</v>
      </c>
      <c r="B626">
        <v>43</v>
      </c>
      <c r="C626" t="s">
        <v>19</v>
      </c>
      <c r="D626" t="s">
        <v>27</v>
      </c>
      <c r="E626" t="s">
        <v>28</v>
      </c>
      <c r="F626" t="s">
        <v>31</v>
      </c>
      <c r="G626">
        <v>3377</v>
      </c>
      <c r="H626">
        <v>446</v>
      </c>
      <c r="I626">
        <v>10</v>
      </c>
      <c r="J626" s="5">
        <v>1560</v>
      </c>
      <c r="K626" s="4">
        <v>1178</v>
      </c>
      <c r="L626" s="6">
        <v>45661</v>
      </c>
      <c r="M626" s="7">
        <f t="shared" si="27"/>
        <v>0.13206988451288126</v>
      </c>
      <c r="N626" s="7">
        <f t="shared" si="28"/>
        <v>2.2421524663677129E-2</v>
      </c>
      <c r="O626" s="7">
        <f t="shared" si="29"/>
        <v>0.32427843803056028</v>
      </c>
    </row>
    <row r="627" spans="1:15" x14ac:dyDescent="0.35">
      <c r="A627">
        <v>626</v>
      </c>
      <c r="B627">
        <v>45</v>
      </c>
      <c r="C627" t="s">
        <v>19</v>
      </c>
      <c r="D627" t="s">
        <v>13</v>
      </c>
      <c r="E627" t="s">
        <v>25</v>
      </c>
      <c r="F627" t="s">
        <v>18</v>
      </c>
      <c r="G627">
        <v>2074</v>
      </c>
      <c r="H627">
        <v>121</v>
      </c>
      <c r="I627">
        <v>29</v>
      </c>
      <c r="J627" s="5">
        <v>3219</v>
      </c>
      <c r="K627" s="4">
        <v>1044</v>
      </c>
      <c r="L627" s="6">
        <v>45751</v>
      </c>
      <c r="M627" s="7">
        <f t="shared" si="27"/>
        <v>5.8341369334619093E-2</v>
      </c>
      <c r="N627" s="7">
        <f t="shared" si="28"/>
        <v>0.23966942148760331</v>
      </c>
      <c r="O627" s="7">
        <f t="shared" si="29"/>
        <v>2.0833333333333335</v>
      </c>
    </row>
    <row r="628" spans="1:15" x14ac:dyDescent="0.35">
      <c r="A628">
        <v>627</v>
      </c>
      <c r="B628">
        <v>25</v>
      </c>
      <c r="C628" t="s">
        <v>12</v>
      </c>
      <c r="D628" t="s">
        <v>26</v>
      </c>
      <c r="E628" t="s">
        <v>14</v>
      </c>
      <c r="F628" t="s">
        <v>29</v>
      </c>
      <c r="G628">
        <v>2166</v>
      </c>
      <c r="H628">
        <v>286</v>
      </c>
      <c r="I628">
        <v>26</v>
      </c>
      <c r="J628" s="5">
        <v>3042</v>
      </c>
      <c r="K628" s="4">
        <v>807</v>
      </c>
      <c r="L628" s="6">
        <v>45729</v>
      </c>
      <c r="M628" s="7">
        <f t="shared" si="27"/>
        <v>0.13204062788550322</v>
      </c>
      <c r="N628" s="7">
        <f t="shared" si="28"/>
        <v>9.0909090909090912E-2</v>
      </c>
      <c r="O628" s="7">
        <f t="shared" si="29"/>
        <v>2.7695167286245352</v>
      </c>
    </row>
    <row r="629" spans="1:15" x14ac:dyDescent="0.35">
      <c r="A629">
        <v>628</v>
      </c>
      <c r="B629">
        <v>20</v>
      </c>
      <c r="C629" t="s">
        <v>19</v>
      </c>
      <c r="D629" t="s">
        <v>27</v>
      </c>
      <c r="E629" t="s">
        <v>34</v>
      </c>
      <c r="F629" t="s">
        <v>18</v>
      </c>
      <c r="G629">
        <v>2553</v>
      </c>
      <c r="H629">
        <v>255</v>
      </c>
      <c r="I629">
        <v>36</v>
      </c>
      <c r="J629" s="5">
        <v>3204</v>
      </c>
      <c r="K629" s="4">
        <v>1834</v>
      </c>
      <c r="L629" s="6">
        <v>45716</v>
      </c>
      <c r="M629" s="7">
        <f t="shared" si="27"/>
        <v>9.9882491186839006E-2</v>
      </c>
      <c r="N629" s="7">
        <f t="shared" si="28"/>
        <v>0.14117647058823529</v>
      </c>
      <c r="O629" s="7">
        <f t="shared" si="29"/>
        <v>0.74700109051254093</v>
      </c>
    </row>
    <row r="630" spans="1:15" x14ac:dyDescent="0.35">
      <c r="A630">
        <v>629</v>
      </c>
      <c r="B630">
        <v>42</v>
      </c>
      <c r="C630" t="s">
        <v>19</v>
      </c>
      <c r="D630" t="s">
        <v>26</v>
      </c>
      <c r="E630" t="s">
        <v>30</v>
      </c>
      <c r="F630" t="s">
        <v>15</v>
      </c>
      <c r="G630">
        <v>848</v>
      </c>
      <c r="H630">
        <v>304</v>
      </c>
      <c r="I630">
        <v>73</v>
      </c>
      <c r="J630" s="5">
        <v>9563</v>
      </c>
      <c r="K630" s="4">
        <v>1925</v>
      </c>
      <c r="L630" s="6">
        <v>45688</v>
      </c>
      <c r="M630" s="7">
        <f t="shared" si="27"/>
        <v>0.35849056603773582</v>
      </c>
      <c r="N630" s="7">
        <f t="shared" si="28"/>
        <v>0.24013157894736842</v>
      </c>
      <c r="O630" s="7">
        <f t="shared" si="29"/>
        <v>3.9677922077922076</v>
      </c>
    </row>
    <row r="631" spans="1:15" x14ac:dyDescent="0.35">
      <c r="A631">
        <v>630</v>
      </c>
      <c r="B631">
        <v>37</v>
      </c>
      <c r="C631" t="s">
        <v>19</v>
      </c>
      <c r="D631" t="s">
        <v>26</v>
      </c>
      <c r="E631" t="s">
        <v>32</v>
      </c>
      <c r="F631" t="s">
        <v>22</v>
      </c>
      <c r="G631">
        <v>3309</v>
      </c>
      <c r="H631">
        <v>133</v>
      </c>
      <c r="I631">
        <v>26</v>
      </c>
      <c r="J631" s="5">
        <v>2392</v>
      </c>
      <c r="K631" s="4">
        <v>587</v>
      </c>
      <c r="L631" s="6">
        <v>45734</v>
      </c>
      <c r="M631" s="7">
        <f t="shared" si="27"/>
        <v>4.0193411906920523E-2</v>
      </c>
      <c r="N631" s="7">
        <f t="shared" si="28"/>
        <v>0.19548872180451127</v>
      </c>
      <c r="O631" s="7">
        <f t="shared" si="29"/>
        <v>3.0749574105621806</v>
      </c>
    </row>
    <row r="632" spans="1:15" x14ac:dyDescent="0.35">
      <c r="A632">
        <v>631</v>
      </c>
      <c r="B632">
        <v>32</v>
      </c>
      <c r="C632" t="s">
        <v>12</v>
      </c>
      <c r="D632" t="s">
        <v>27</v>
      </c>
      <c r="E632" t="s">
        <v>34</v>
      </c>
      <c r="F632" t="s">
        <v>31</v>
      </c>
      <c r="G632">
        <v>836</v>
      </c>
      <c r="H632">
        <v>487</v>
      </c>
      <c r="I632">
        <v>40</v>
      </c>
      <c r="J632" s="5">
        <v>3200</v>
      </c>
      <c r="K632" s="4">
        <v>680</v>
      </c>
      <c r="L632" s="6">
        <v>45681</v>
      </c>
      <c r="M632" s="7">
        <f t="shared" si="27"/>
        <v>0.58253588516746413</v>
      </c>
      <c r="N632" s="7">
        <f t="shared" si="28"/>
        <v>8.2135523613963035E-2</v>
      </c>
      <c r="O632" s="7">
        <f t="shared" si="29"/>
        <v>3.7058823529411766</v>
      </c>
    </row>
    <row r="633" spans="1:15" x14ac:dyDescent="0.35">
      <c r="A633">
        <v>632</v>
      </c>
      <c r="B633">
        <v>25</v>
      </c>
      <c r="C633" t="s">
        <v>19</v>
      </c>
      <c r="D633" t="s">
        <v>16</v>
      </c>
      <c r="E633" t="s">
        <v>21</v>
      </c>
      <c r="F633" t="s">
        <v>18</v>
      </c>
      <c r="G633">
        <v>3629</v>
      </c>
      <c r="H633">
        <v>377</v>
      </c>
      <c r="I633">
        <v>27</v>
      </c>
      <c r="J633" s="5">
        <v>4077</v>
      </c>
      <c r="K633" s="4">
        <v>1909</v>
      </c>
      <c r="L633" s="6">
        <v>45768</v>
      </c>
      <c r="M633" s="7">
        <f t="shared" si="27"/>
        <v>0.10388536786993662</v>
      </c>
      <c r="N633" s="7">
        <f t="shared" si="28"/>
        <v>7.161803713527852E-2</v>
      </c>
      <c r="O633" s="7">
        <f t="shared" si="29"/>
        <v>1.1356731272917757</v>
      </c>
    </row>
    <row r="634" spans="1:15" x14ac:dyDescent="0.35">
      <c r="A634">
        <v>633</v>
      </c>
      <c r="B634">
        <v>45</v>
      </c>
      <c r="C634" t="s">
        <v>12</v>
      </c>
      <c r="D634" t="s">
        <v>13</v>
      </c>
      <c r="E634" t="s">
        <v>30</v>
      </c>
      <c r="F634" t="s">
        <v>22</v>
      </c>
      <c r="G634">
        <v>3246</v>
      </c>
      <c r="H634">
        <v>318</v>
      </c>
      <c r="I634">
        <v>43</v>
      </c>
      <c r="J634" s="5">
        <v>8256</v>
      </c>
      <c r="K634" s="4">
        <v>1452</v>
      </c>
      <c r="L634" s="6">
        <v>45718</v>
      </c>
      <c r="M634" s="7">
        <f t="shared" si="27"/>
        <v>9.7966728280961188E-2</v>
      </c>
      <c r="N634" s="7">
        <f t="shared" si="28"/>
        <v>0.13522012578616352</v>
      </c>
      <c r="O634" s="7">
        <f t="shared" si="29"/>
        <v>4.6859504132231402</v>
      </c>
    </row>
    <row r="635" spans="1:15" x14ac:dyDescent="0.35">
      <c r="A635">
        <v>634</v>
      </c>
      <c r="B635">
        <v>34</v>
      </c>
      <c r="C635" t="s">
        <v>19</v>
      </c>
      <c r="D635" t="s">
        <v>20</v>
      </c>
      <c r="E635" t="s">
        <v>14</v>
      </c>
      <c r="F635" t="s">
        <v>29</v>
      </c>
      <c r="G635">
        <v>3843</v>
      </c>
      <c r="H635">
        <v>424</v>
      </c>
      <c r="I635">
        <v>6</v>
      </c>
      <c r="J635" s="5">
        <v>966</v>
      </c>
      <c r="K635" s="4">
        <v>957</v>
      </c>
      <c r="L635" s="6">
        <v>45670</v>
      </c>
      <c r="M635" s="7">
        <f t="shared" si="27"/>
        <v>0.1103304709862087</v>
      </c>
      <c r="N635" s="7">
        <f t="shared" si="28"/>
        <v>1.4150943396226415E-2</v>
      </c>
      <c r="O635" s="7">
        <f t="shared" si="29"/>
        <v>9.4043887147335428E-3</v>
      </c>
    </row>
    <row r="636" spans="1:15" x14ac:dyDescent="0.35">
      <c r="A636">
        <v>635</v>
      </c>
      <c r="B636">
        <v>47</v>
      </c>
      <c r="C636" t="s">
        <v>19</v>
      </c>
      <c r="D636" t="s">
        <v>13</v>
      </c>
      <c r="E636" t="s">
        <v>25</v>
      </c>
      <c r="F636" t="s">
        <v>18</v>
      </c>
      <c r="G636">
        <v>997</v>
      </c>
      <c r="H636">
        <v>270</v>
      </c>
      <c r="I636">
        <v>17</v>
      </c>
      <c r="J636" s="5">
        <v>2788</v>
      </c>
      <c r="K636" s="4">
        <v>1394</v>
      </c>
      <c r="L636" s="6">
        <v>45769</v>
      </c>
      <c r="M636" s="7">
        <f t="shared" si="27"/>
        <v>0.27081243731193583</v>
      </c>
      <c r="N636" s="7">
        <f t="shared" si="28"/>
        <v>6.2962962962962957E-2</v>
      </c>
      <c r="O636" s="7">
        <f t="shared" si="29"/>
        <v>1</v>
      </c>
    </row>
    <row r="637" spans="1:15" x14ac:dyDescent="0.35">
      <c r="A637">
        <v>636</v>
      </c>
      <c r="B637">
        <v>27</v>
      </c>
      <c r="C637" t="s">
        <v>19</v>
      </c>
      <c r="D637" t="s">
        <v>20</v>
      </c>
      <c r="E637" t="s">
        <v>25</v>
      </c>
      <c r="F637" t="s">
        <v>18</v>
      </c>
      <c r="G637">
        <v>3483</v>
      </c>
      <c r="H637">
        <v>165</v>
      </c>
      <c r="I637">
        <v>19</v>
      </c>
      <c r="J637" s="5">
        <v>2489</v>
      </c>
      <c r="K637" s="4">
        <v>1424</v>
      </c>
      <c r="L637" s="6">
        <v>45744</v>
      </c>
      <c r="M637" s="7">
        <f t="shared" si="27"/>
        <v>4.7372954349698536E-2</v>
      </c>
      <c r="N637" s="7">
        <f t="shared" si="28"/>
        <v>0.11515151515151516</v>
      </c>
      <c r="O637" s="7">
        <f t="shared" si="29"/>
        <v>0.7478932584269663</v>
      </c>
    </row>
    <row r="638" spans="1:15" x14ac:dyDescent="0.35">
      <c r="A638">
        <v>637</v>
      </c>
      <c r="B638">
        <v>26</v>
      </c>
      <c r="C638" t="s">
        <v>12</v>
      </c>
      <c r="D638" t="s">
        <v>26</v>
      </c>
      <c r="E638" t="s">
        <v>28</v>
      </c>
      <c r="F638" t="s">
        <v>31</v>
      </c>
      <c r="G638">
        <v>2931</v>
      </c>
      <c r="H638">
        <v>229</v>
      </c>
      <c r="I638">
        <v>34</v>
      </c>
      <c r="J638" s="5">
        <v>4624</v>
      </c>
      <c r="K638" s="4">
        <v>616</v>
      </c>
      <c r="L638" s="6">
        <v>45768</v>
      </c>
      <c r="M638" s="7">
        <f t="shared" si="27"/>
        <v>7.8130330945069937E-2</v>
      </c>
      <c r="N638" s="7">
        <f t="shared" si="28"/>
        <v>0.14847161572052403</v>
      </c>
      <c r="O638" s="7">
        <f t="shared" si="29"/>
        <v>6.5064935064935066</v>
      </c>
    </row>
    <row r="639" spans="1:15" x14ac:dyDescent="0.35">
      <c r="A639">
        <v>638</v>
      </c>
      <c r="B639">
        <v>26</v>
      </c>
      <c r="C639" t="s">
        <v>12</v>
      </c>
      <c r="D639" t="s">
        <v>13</v>
      </c>
      <c r="E639" t="s">
        <v>34</v>
      </c>
      <c r="F639" t="s">
        <v>29</v>
      </c>
      <c r="G639">
        <v>3572</v>
      </c>
      <c r="H639">
        <v>93</v>
      </c>
      <c r="I639">
        <v>79</v>
      </c>
      <c r="J639" s="5">
        <v>12561</v>
      </c>
      <c r="K639" s="4">
        <v>1321</v>
      </c>
      <c r="L639" s="6">
        <v>45766</v>
      </c>
      <c r="M639" s="7">
        <f t="shared" si="27"/>
        <v>2.6035834266517358E-2</v>
      </c>
      <c r="N639" s="7">
        <f t="shared" si="28"/>
        <v>0.84946236559139787</v>
      </c>
      <c r="O639" s="7">
        <f t="shared" si="29"/>
        <v>8.5087055261165787</v>
      </c>
    </row>
    <row r="640" spans="1:15" x14ac:dyDescent="0.35">
      <c r="A640">
        <v>639</v>
      </c>
      <c r="B640">
        <v>18</v>
      </c>
      <c r="C640" t="s">
        <v>19</v>
      </c>
      <c r="D640" t="s">
        <v>13</v>
      </c>
      <c r="E640" t="s">
        <v>17</v>
      </c>
      <c r="F640" t="s">
        <v>22</v>
      </c>
      <c r="G640">
        <v>3451</v>
      </c>
      <c r="H640">
        <v>121</v>
      </c>
      <c r="I640">
        <v>31</v>
      </c>
      <c r="J640" s="5">
        <v>2821</v>
      </c>
      <c r="K640" s="4">
        <v>1413</v>
      </c>
      <c r="L640" s="6">
        <v>45699</v>
      </c>
      <c r="M640" s="7">
        <f t="shared" si="27"/>
        <v>3.5062300782381921E-2</v>
      </c>
      <c r="N640" s="7">
        <f t="shared" si="28"/>
        <v>0.256198347107438</v>
      </c>
      <c r="O640" s="7">
        <f t="shared" si="29"/>
        <v>0.99646142958244865</v>
      </c>
    </row>
    <row r="641" spans="1:15" x14ac:dyDescent="0.35">
      <c r="A641">
        <v>640</v>
      </c>
      <c r="B641">
        <v>50</v>
      </c>
      <c r="C641" t="s">
        <v>12</v>
      </c>
      <c r="D641" t="s">
        <v>20</v>
      </c>
      <c r="E641" t="s">
        <v>21</v>
      </c>
      <c r="F641" t="s">
        <v>22</v>
      </c>
      <c r="G641">
        <v>1382</v>
      </c>
      <c r="H641">
        <v>188</v>
      </c>
      <c r="I641">
        <v>47</v>
      </c>
      <c r="J641" s="5">
        <v>4512</v>
      </c>
      <c r="K641" s="4">
        <v>1062</v>
      </c>
      <c r="L641" s="6">
        <v>45750</v>
      </c>
      <c r="M641" s="7">
        <f t="shared" si="27"/>
        <v>0.13603473227206947</v>
      </c>
      <c r="N641" s="7">
        <f t="shared" si="28"/>
        <v>0.25</v>
      </c>
      <c r="O641" s="7">
        <f t="shared" si="29"/>
        <v>3.2485875706214689</v>
      </c>
    </row>
    <row r="642" spans="1:15" x14ac:dyDescent="0.35">
      <c r="A642">
        <v>641</v>
      </c>
      <c r="B642">
        <v>23</v>
      </c>
      <c r="C642" t="s">
        <v>12</v>
      </c>
      <c r="D642" t="s">
        <v>20</v>
      </c>
      <c r="E642" t="s">
        <v>28</v>
      </c>
      <c r="F642" t="s">
        <v>15</v>
      </c>
      <c r="G642">
        <v>2248</v>
      </c>
      <c r="H642">
        <v>390</v>
      </c>
      <c r="I642">
        <v>44</v>
      </c>
      <c r="J642" s="5">
        <v>5940</v>
      </c>
      <c r="K642" s="4">
        <v>1630</v>
      </c>
      <c r="L642" s="6">
        <v>45707</v>
      </c>
      <c r="M642" s="7">
        <f t="shared" si="27"/>
        <v>0.17348754448398576</v>
      </c>
      <c r="N642" s="7">
        <f t="shared" si="28"/>
        <v>0.11282051282051282</v>
      </c>
      <c r="O642" s="7">
        <f t="shared" si="29"/>
        <v>2.6441717791411041</v>
      </c>
    </row>
    <row r="643" spans="1:15" x14ac:dyDescent="0.35">
      <c r="A643">
        <v>642</v>
      </c>
      <c r="B643">
        <v>52</v>
      </c>
      <c r="C643" t="s">
        <v>19</v>
      </c>
      <c r="D643" t="s">
        <v>13</v>
      </c>
      <c r="E643" t="s">
        <v>24</v>
      </c>
      <c r="F643" t="s">
        <v>29</v>
      </c>
      <c r="G643">
        <v>992</v>
      </c>
      <c r="H643">
        <v>241</v>
      </c>
      <c r="I643">
        <v>58</v>
      </c>
      <c r="J643" s="5">
        <v>10672</v>
      </c>
      <c r="K643" s="4">
        <v>1935</v>
      </c>
      <c r="L643" s="6">
        <v>45668</v>
      </c>
      <c r="M643" s="7">
        <f t="shared" ref="M643:M706" si="30">H643/G643</f>
        <v>0.24294354838709678</v>
      </c>
      <c r="N643" s="7">
        <f t="shared" ref="N643:N706" si="31">I643/H643</f>
        <v>0.24066390041493776</v>
      </c>
      <c r="O643" s="7">
        <f t="shared" ref="O643:O706" si="32">(J643-K643)/K643</f>
        <v>4.5152454780361762</v>
      </c>
    </row>
    <row r="644" spans="1:15" x14ac:dyDescent="0.35">
      <c r="A644">
        <v>643</v>
      </c>
      <c r="B644">
        <v>36</v>
      </c>
      <c r="C644" t="s">
        <v>12</v>
      </c>
      <c r="D644" t="s">
        <v>27</v>
      </c>
      <c r="E644" t="s">
        <v>14</v>
      </c>
      <c r="F644" t="s">
        <v>31</v>
      </c>
      <c r="G644">
        <v>1316</v>
      </c>
      <c r="H644">
        <v>198</v>
      </c>
      <c r="I644">
        <v>70</v>
      </c>
      <c r="J644" s="5">
        <v>12810</v>
      </c>
      <c r="K644" s="4">
        <v>1286</v>
      </c>
      <c r="L644" s="6">
        <v>45685</v>
      </c>
      <c r="M644" s="7">
        <f t="shared" si="30"/>
        <v>0.15045592705167174</v>
      </c>
      <c r="N644" s="7">
        <f t="shared" si="31"/>
        <v>0.35353535353535354</v>
      </c>
      <c r="O644" s="7">
        <f t="shared" si="32"/>
        <v>8.9611197511664074</v>
      </c>
    </row>
    <row r="645" spans="1:15" x14ac:dyDescent="0.35">
      <c r="A645">
        <v>644</v>
      </c>
      <c r="B645">
        <v>45</v>
      </c>
      <c r="C645" t="s">
        <v>12</v>
      </c>
      <c r="D645" t="s">
        <v>13</v>
      </c>
      <c r="E645" t="s">
        <v>33</v>
      </c>
      <c r="F645" t="s">
        <v>18</v>
      </c>
      <c r="G645">
        <v>2542</v>
      </c>
      <c r="H645">
        <v>322</v>
      </c>
      <c r="I645">
        <v>10</v>
      </c>
      <c r="J645" s="5">
        <v>1350</v>
      </c>
      <c r="K645" s="4">
        <v>1370</v>
      </c>
      <c r="L645" s="6">
        <v>45695</v>
      </c>
      <c r="M645" s="7">
        <f t="shared" si="30"/>
        <v>0.12667191188040913</v>
      </c>
      <c r="N645" s="7">
        <f t="shared" si="31"/>
        <v>3.1055900621118012E-2</v>
      </c>
      <c r="O645" s="7">
        <f t="shared" si="32"/>
        <v>-1.4598540145985401E-2</v>
      </c>
    </row>
    <row r="646" spans="1:15" x14ac:dyDescent="0.35">
      <c r="A646">
        <v>645</v>
      </c>
      <c r="B646">
        <v>53</v>
      </c>
      <c r="C646" t="s">
        <v>12</v>
      </c>
      <c r="D646" t="s">
        <v>27</v>
      </c>
      <c r="E646" t="s">
        <v>21</v>
      </c>
      <c r="F646" t="s">
        <v>18</v>
      </c>
      <c r="G646">
        <v>3690</v>
      </c>
      <c r="H646">
        <v>342</v>
      </c>
      <c r="I646">
        <v>72</v>
      </c>
      <c r="J646" s="5">
        <v>12168</v>
      </c>
      <c r="K646" s="4">
        <v>1949</v>
      </c>
      <c r="L646" s="6">
        <v>45670</v>
      </c>
      <c r="M646" s="7">
        <f t="shared" si="30"/>
        <v>9.2682926829268292E-2</v>
      </c>
      <c r="N646" s="7">
        <f t="shared" si="31"/>
        <v>0.21052631578947367</v>
      </c>
      <c r="O646" s="7">
        <f t="shared" si="32"/>
        <v>5.2432016418676248</v>
      </c>
    </row>
    <row r="647" spans="1:15" x14ac:dyDescent="0.35">
      <c r="A647">
        <v>646</v>
      </c>
      <c r="B647">
        <v>53</v>
      </c>
      <c r="C647" t="s">
        <v>19</v>
      </c>
      <c r="D647" t="s">
        <v>13</v>
      </c>
      <c r="E647" t="s">
        <v>14</v>
      </c>
      <c r="F647" t="s">
        <v>18</v>
      </c>
      <c r="G647">
        <v>807</v>
      </c>
      <c r="H647">
        <v>107</v>
      </c>
      <c r="I647">
        <v>36</v>
      </c>
      <c r="J647" s="5">
        <v>6624</v>
      </c>
      <c r="K647" s="4">
        <v>1176</v>
      </c>
      <c r="L647" s="6">
        <v>45717</v>
      </c>
      <c r="M647" s="7">
        <f t="shared" si="30"/>
        <v>0.13258983890954151</v>
      </c>
      <c r="N647" s="7">
        <f t="shared" si="31"/>
        <v>0.3364485981308411</v>
      </c>
      <c r="O647" s="7">
        <f t="shared" si="32"/>
        <v>4.6326530612244898</v>
      </c>
    </row>
    <row r="648" spans="1:15" x14ac:dyDescent="0.35">
      <c r="A648">
        <v>647</v>
      </c>
      <c r="B648">
        <v>45</v>
      </c>
      <c r="C648" t="s">
        <v>19</v>
      </c>
      <c r="D648" t="s">
        <v>27</v>
      </c>
      <c r="E648" t="s">
        <v>34</v>
      </c>
      <c r="F648" t="s">
        <v>22</v>
      </c>
      <c r="G648">
        <v>2017</v>
      </c>
      <c r="H648">
        <v>132</v>
      </c>
      <c r="I648">
        <v>62</v>
      </c>
      <c r="J648" s="5">
        <v>11036</v>
      </c>
      <c r="K648" s="4">
        <v>451</v>
      </c>
      <c r="L648" s="6">
        <v>45699</v>
      </c>
      <c r="M648" s="7">
        <f t="shared" si="30"/>
        <v>6.5443728309370355E-2</v>
      </c>
      <c r="N648" s="7">
        <f t="shared" si="31"/>
        <v>0.46969696969696972</v>
      </c>
      <c r="O648" s="7">
        <f t="shared" si="32"/>
        <v>23.470066518847005</v>
      </c>
    </row>
    <row r="649" spans="1:15" x14ac:dyDescent="0.35">
      <c r="A649">
        <v>648</v>
      </c>
      <c r="B649">
        <v>29</v>
      </c>
      <c r="C649" t="s">
        <v>12</v>
      </c>
      <c r="D649" t="s">
        <v>26</v>
      </c>
      <c r="E649" t="s">
        <v>17</v>
      </c>
      <c r="F649" t="s">
        <v>22</v>
      </c>
      <c r="G649">
        <v>4805</v>
      </c>
      <c r="H649">
        <v>353</v>
      </c>
      <c r="I649">
        <v>44</v>
      </c>
      <c r="J649" s="5">
        <v>6248</v>
      </c>
      <c r="K649" s="4">
        <v>808</v>
      </c>
      <c r="L649" s="6">
        <v>45745</v>
      </c>
      <c r="M649" s="7">
        <f t="shared" si="30"/>
        <v>7.3465140478668048E-2</v>
      </c>
      <c r="N649" s="7">
        <f t="shared" si="31"/>
        <v>0.12464589235127478</v>
      </c>
      <c r="O649" s="7">
        <f t="shared" si="32"/>
        <v>6.7326732673267324</v>
      </c>
    </row>
    <row r="650" spans="1:15" x14ac:dyDescent="0.35">
      <c r="A650">
        <v>649</v>
      </c>
      <c r="B650">
        <v>29</v>
      </c>
      <c r="C650" t="s">
        <v>19</v>
      </c>
      <c r="D650" t="s">
        <v>16</v>
      </c>
      <c r="E650" t="s">
        <v>17</v>
      </c>
      <c r="F650" t="s">
        <v>18</v>
      </c>
      <c r="G650">
        <v>4505</v>
      </c>
      <c r="H650">
        <v>460</v>
      </c>
      <c r="I650">
        <v>13</v>
      </c>
      <c r="J650" s="5">
        <v>1235</v>
      </c>
      <c r="K650" s="4">
        <v>566</v>
      </c>
      <c r="L650" s="6">
        <v>45776</v>
      </c>
      <c r="M650" s="7">
        <f t="shared" si="30"/>
        <v>0.10210876803551609</v>
      </c>
      <c r="N650" s="7">
        <f t="shared" si="31"/>
        <v>2.8260869565217391E-2</v>
      </c>
      <c r="O650" s="7">
        <f t="shared" si="32"/>
        <v>1.1819787985865724</v>
      </c>
    </row>
    <row r="651" spans="1:15" x14ac:dyDescent="0.35">
      <c r="A651">
        <v>650</v>
      </c>
      <c r="B651">
        <v>26</v>
      </c>
      <c r="C651" t="s">
        <v>12</v>
      </c>
      <c r="D651" t="s">
        <v>26</v>
      </c>
      <c r="E651" t="s">
        <v>21</v>
      </c>
      <c r="F651" t="s">
        <v>31</v>
      </c>
      <c r="G651">
        <v>3296</v>
      </c>
      <c r="H651">
        <v>74</v>
      </c>
      <c r="I651">
        <v>38</v>
      </c>
      <c r="J651" s="5">
        <v>3914</v>
      </c>
      <c r="K651" s="4">
        <v>1802</v>
      </c>
      <c r="L651" s="6">
        <v>45677</v>
      </c>
      <c r="M651" s="7">
        <f t="shared" si="30"/>
        <v>2.2451456310679612E-2</v>
      </c>
      <c r="N651" s="7">
        <f t="shared" si="31"/>
        <v>0.51351351351351349</v>
      </c>
      <c r="O651" s="7">
        <f t="shared" si="32"/>
        <v>1.172031076581576</v>
      </c>
    </row>
    <row r="652" spans="1:15" x14ac:dyDescent="0.35">
      <c r="A652">
        <v>651</v>
      </c>
      <c r="B652">
        <v>20</v>
      </c>
      <c r="C652" t="s">
        <v>19</v>
      </c>
      <c r="D652" t="s">
        <v>23</v>
      </c>
      <c r="E652" t="s">
        <v>21</v>
      </c>
      <c r="F652" t="s">
        <v>15</v>
      </c>
      <c r="G652">
        <v>3581</v>
      </c>
      <c r="H652">
        <v>260</v>
      </c>
      <c r="I652">
        <v>71</v>
      </c>
      <c r="J652" s="5">
        <v>5964</v>
      </c>
      <c r="K652" s="4">
        <v>351</v>
      </c>
      <c r="L652" s="6">
        <v>45684</v>
      </c>
      <c r="M652" s="7">
        <f t="shared" si="30"/>
        <v>7.2605417481150514E-2</v>
      </c>
      <c r="N652" s="7">
        <f t="shared" si="31"/>
        <v>0.27307692307692305</v>
      </c>
      <c r="O652" s="7">
        <f t="shared" si="32"/>
        <v>15.991452991452991</v>
      </c>
    </row>
    <row r="653" spans="1:15" x14ac:dyDescent="0.35">
      <c r="A653">
        <v>652</v>
      </c>
      <c r="B653">
        <v>43</v>
      </c>
      <c r="C653" t="s">
        <v>12</v>
      </c>
      <c r="D653" t="s">
        <v>16</v>
      </c>
      <c r="E653" t="s">
        <v>33</v>
      </c>
      <c r="F653" t="s">
        <v>15</v>
      </c>
      <c r="G653">
        <v>3011</v>
      </c>
      <c r="H653">
        <v>162</v>
      </c>
      <c r="I653">
        <v>19</v>
      </c>
      <c r="J653" s="5">
        <v>2945</v>
      </c>
      <c r="K653" s="4">
        <v>1386</v>
      </c>
      <c r="L653" s="6">
        <v>45744</v>
      </c>
      <c r="M653" s="7">
        <f t="shared" si="30"/>
        <v>5.3802723347725005E-2</v>
      </c>
      <c r="N653" s="7">
        <f t="shared" si="31"/>
        <v>0.11728395061728394</v>
      </c>
      <c r="O653" s="7">
        <f t="shared" si="32"/>
        <v>1.1248196248196247</v>
      </c>
    </row>
    <row r="654" spans="1:15" x14ac:dyDescent="0.35">
      <c r="A654">
        <v>653</v>
      </c>
      <c r="B654">
        <v>40</v>
      </c>
      <c r="C654" t="s">
        <v>12</v>
      </c>
      <c r="D654" t="s">
        <v>23</v>
      </c>
      <c r="E654" t="s">
        <v>14</v>
      </c>
      <c r="F654" t="s">
        <v>15</v>
      </c>
      <c r="G654">
        <v>2898</v>
      </c>
      <c r="H654">
        <v>483</v>
      </c>
      <c r="I654">
        <v>16</v>
      </c>
      <c r="J654" s="5">
        <v>1328</v>
      </c>
      <c r="K654" s="4">
        <v>1694</v>
      </c>
      <c r="L654" s="6">
        <v>45769</v>
      </c>
      <c r="M654" s="7">
        <f t="shared" si="30"/>
        <v>0.16666666666666666</v>
      </c>
      <c r="N654" s="7">
        <f t="shared" si="31"/>
        <v>3.3126293995859216E-2</v>
      </c>
      <c r="O654" s="7">
        <f t="shared" si="32"/>
        <v>-0.21605667060212513</v>
      </c>
    </row>
    <row r="655" spans="1:15" x14ac:dyDescent="0.35">
      <c r="A655">
        <v>654</v>
      </c>
      <c r="B655">
        <v>38</v>
      </c>
      <c r="C655" t="s">
        <v>19</v>
      </c>
      <c r="D655" t="s">
        <v>13</v>
      </c>
      <c r="E655" t="s">
        <v>30</v>
      </c>
      <c r="F655" t="s">
        <v>29</v>
      </c>
      <c r="G655">
        <v>628</v>
      </c>
      <c r="H655">
        <v>295</v>
      </c>
      <c r="I655">
        <v>70</v>
      </c>
      <c r="J655" s="5">
        <v>5740</v>
      </c>
      <c r="K655" s="4">
        <v>869</v>
      </c>
      <c r="L655" s="6">
        <v>45741</v>
      </c>
      <c r="M655" s="7">
        <f t="shared" si="30"/>
        <v>0.46974522292993631</v>
      </c>
      <c r="N655" s="7">
        <f t="shared" si="31"/>
        <v>0.23728813559322035</v>
      </c>
      <c r="O655" s="7">
        <f t="shared" si="32"/>
        <v>5.6052934407364789</v>
      </c>
    </row>
    <row r="656" spans="1:15" x14ac:dyDescent="0.35">
      <c r="A656">
        <v>655</v>
      </c>
      <c r="B656">
        <v>32</v>
      </c>
      <c r="C656" t="s">
        <v>12</v>
      </c>
      <c r="D656" t="s">
        <v>16</v>
      </c>
      <c r="E656" t="s">
        <v>21</v>
      </c>
      <c r="F656" t="s">
        <v>15</v>
      </c>
      <c r="G656">
        <v>1127</v>
      </c>
      <c r="H656">
        <v>263</v>
      </c>
      <c r="I656">
        <v>66</v>
      </c>
      <c r="J656" s="5">
        <v>12870</v>
      </c>
      <c r="K656" s="4">
        <v>1704</v>
      </c>
      <c r="L656" s="6">
        <v>45767</v>
      </c>
      <c r="M656" s="7">
        <f t="shared" si="30"/>
        <v>0.23336291038154391</v>
      </c>
      <c r="N656" s="7">
        <f t="shared" si="31"/>
        <v>0.2509505703422053</v>
      </c>
      <c r="O656" s="7">
        <f t="shared" si="32"/>
        <v>6.552816901408451</v>
      </c>
    </row>
    <row r="657" spans="1:15" x14ac:dyDescent="0.35">
      <c r="A657">
        <v>656</v>
      </c>
      <c r="B657">
        <v>22</v>
      </c>
      <c r="C657" t="s">
        <v>12</v>
      </c>
      <c r="D657" t="s">
        <v>13</v>
      </c>
      <c r="E657" t="s">
        <v>28</v>
      </c>
      <c r="F657" t="s">
        <v>31</v>
      </c>
      <c r="G657">
        <v>1474</v>
      </c>
      <c r="H657">
        <v>351</v>
      </c>
      <c r="I657">
        <v>29</v>
      </c>
      <c r="J657" s="5">
        <v>4843</v>
      </c>
      <c r="K657" s="4">
        <v>988</v>
      </c>
      <c r="L657" s="6">
        <v>45770</v>
      </c>
      <c r="M657" s="7">
        <f t="shared" si="30"/>
        <v>0.23812754409769335</v>
      </c>
      <c r="N657" s="7">
        <f t="shared" si="31"/>
        <v>8.2621082621082614E-2</v>
      </c>
      <c r="O657" s="7">
        <f t="shared" si="32"/>
        <v>3.9018218623481782</v>
      </c>
    </row>
    <row r="658" spans="1:15" x14ac:dyDescent="0.35">
      <c r="A658">
        <v>657</v>
      </c>
      <c r="B658">
        <v>52</v>
      </c>
      <c r="C658" t="s">
        <v>19</v>
      </c>
      <c r="D658" t="s">
        <v>23</v>
      </c>
      <c r="E658" t="s">
        <v>28</v>
      </c>
      <c r="F658" t="s">
        <v>31</v>
      </c>
      <c r="G658">
        <v>1826</v>
      </c>
      <c r="H658">
        <v>140</v>
      </c>
      <c r="I658">
        <v>22</v>
      </c>
      <c r="J658" s="5">
        <v>3762</v>
      </c>
      <c r="K658" s="4">
        <v>860</v>
      </c>
      <c r="L658" s="6">
        <v>45761</v>
      </c>
      <c r="M658" s="7">
        <f t="shared" si="30"/>
        <v>7.6670317634173049E-2</v>
      </c>
      <c r="N658" s="7">
        <f t="shared" si="31"/>
        <v>0.15714285714285714</v>
      </c>
      <c r="O658" s="7">
        <f t="shared" si="32"/>
        <v>3.3744186046511628</v>
      </c>
    </row>
    <row r="659" spans="1:15" x14ac:dyDescent="0.35">
      <c r="A659">
        <v>658</v>
      </c>
      <c r="B659">
        <v>27</v>
      </c>
      <c r="C659" t="s">
        <v>12</v>
      </c>
      <c r="D659" t="s">
        <v>27</v>
      </c>
      <c r="E659" t="s">
        <v>30</v>
      </c>
      <c r="F659" t="s">
        <v>31</v>
      </c>
      <c r="G659">
        <v>2186</v>
      </c>
      <c r="H659">
        <v>241</v>
      </c>
      <c r="I659">
        <v>71</v>
      </c>
      <c r="J659" s="5">
        <v>13703</v>
      </c>
      <c r="K659" s="4">
        <v>1775</v>
      </c>
      <c r="L659" s="6">
        <v>45709</v>
      </c>
      <c r="M659" s="7">
        <f t="shared" si="30"/>
        <v>0.11024702653247942</v>
      </c>
      <c r="N659" s="7">
        <f t="shared" si="31"/>
        <v>0.29460580912863071</v>
      </c>
      <c r="O659" s="7">
        <f t="shared" si="32"/>
        <v>6.72</v>
      </c>
    </row>
    <row r="660" spans="1:15" x14ac:dyDescent="0.35">
      <c r="A660">
        <v>659</v>
      </c>
      <c r="B660">
        <v>22</v>
      </c>
      <c r="C660" t="s">
        <v>19</v>
      </c>
      <c r="D660" t="s">
        <v>16</v>
      </c>
      <c r="E660" t="s">
        <v>21</v>
      </c>
      <c r="F660" t="s">
        <v>29</v>
      </c>
      <c r="G660">
        <v>1508</v>
      </c>
      <c r="H660">
        <v>249</v>
      </c>
      <c r="I660">
        <v>79</v>
      </c>
      <c r="J660" s="5">
        <v>11297</v>
      </c>
      <c r="K660" s="4">
        <v>772</v>
      </c>
      <c r="L660" s="6">
        <v>45766</v>
      </c>
      <c r="M660" s="7">
        <f t="shared" si="30"/>
        <v>0.16511936339522545</v>
      </c>
      <c r="N660" s="7">
        <f t="shared" si="31"/>
        <v>0.31726907630522089</v>
      </c>
      <c r="O660" s="7">
        <f t="shared" si="32"/>
        <v>13.633419689119171</v>
      </c>
    </row>
    <row r="661" spans="1:15" x14ac:dyDescent="0.35">
      <c r="A661">
        <v>660</v>
      </c>
      <c r="B661">
        <v>46</v>
      </c>
      <c r="C661" t="s">
        <v>12</v>
      </c>
      <c r="D661" t="s">
        <v>27</v>
      </c>
      <c r="E661" t="s">
        <v>25</v>
      </c>
      <c r="F661" t="s">
        <v>31</v>
      </c>
      <c r="G661">
        <v>2216</v>
      </c>
      <c r="H661">
        <v>360</v>
      </c>
      <c r="I661">
        <v>41</v>
      </c>
      <c r="J661" s="5">
        <v>5658</v>
      </c>
      <c r="K661" s="4">
        <v>255</v>
      </c>
      <c r="L661" s="6">
        <v>45730</v>
      </c>
      <c r="M661" s="7">
        <f t="shared" si="30"/>
        <v>0.16245487364620939</v>
      </c>
      <c r="N661" s="7">
        <f t="shared" si="31"/>
        <v>0.11388888888888889</v>
      </c>
      <c r="O661" s="7">
        <f t="shared" si="32"/>
        <v>21.188235294117646</v>
      </c>
    </row>
    <row r="662" spans="1:15" x14ac:dyDescent="0.35">
      <c r="A662">
        <v>661</v>
      </c>
      <c r="B662">
        <v>47</v>
      </c>
      <c r="C662" t="s">
        <v>12</v>
      </c>
      <c r="D662" t="s">
        <v>23</v>
      </c>
      <c r="E662" t="s">
        <v>14</v>
      </c>
      <c r="F662" t="s">
        <v>31</v>
      </c>
      <c r="G662">
        <v>3299</v>
      </c>
      <c r="H662">
        <v>51</v>
      </c>
      <c r="I662">
        <v>69</v>
      </c>
      <c r="J662" s="5">
        <v>9591</v>
      </c>
      <c r="K662" s="4">
        <v>559</v>
      </c>
      <c r="L662" s="6">
        <v>45747</v>
      </c>
      <c r="M662" s="7">
        <f t="shared" si="30"/>
        <v>1.5459230069718097E-2</v>
      </c>
      <c r="N662" s="7">
        <f t="shared" si="31"/>
        <v>1.3529411764705883</v>
      </c>
      <c r="O662" s="7">
        <f t="shared" si="32"/>
        <v>16.157423971377458</v>
      </c>
    </row>
    <row r="663" spans="1:15" x14ac:dyDescent="0.35">
      <c r="A663">
        <v>662</v>
      </c>
      <c r="B663">
        <v>45</v>
      </c>
      <c r="C663" t="s">
        <v>19</v>
      </c>
      <c r="D663" t="s">
        <v>20</v>
      </c>
      <c r="E663" t="s">
        <v>21</v>
      </c>
      <c r="F663" t="s">
        <v>22</v>
      </c>
      <c r="G663">
        <v>3264</v>
      </c>
      <c r="H663">
        <v>428</v>
      </c>
      <c r="I663">
        <v>76</v>
      </c>
      <c r="J663" s="5">
        <v>10640</v>
      </c>
      <c r="K663" s="4">
        <v>1159</v>
      </c>
      <c r="L663" s="6">
        <v>45751</v>
      </c>
      <c r="M663" s="7">
        <f t="shared" si="30"/>
        <v>0.13112745098039216</v>
      </c>
      <c r="N663" s="7">
        <f t="shared" si="31"/>
        <v>0.17757009345794392</v>
      </c>
      <c r="O663" s="7">
        <f t="shared" si="32"/>
        <v>8.1803278688524586</v>
      </c>
    </row>
    <row r="664" spans="1:15" x14ac:dyDescent="0.35">
      <c r="A664">
        <v>663</v>
      </c>
      <c r="B664">
        <v>51</v>
      </c>
      <c r="C664" t="s">
        <v>12</v>
      </c>
      <c r="D664" t="s">
        <v>26</v>
      </c>
      <c r="E664" t="s">
        <v>14</v>
      </c>
      <c r="F664" t="s">
        <v>18</v>
      </c>
      <c r="G664">
        <v>3004</v>
      </c>
      <c r="H664">
        <v>152</v>
      </c>
      <c r="I664">
        <v>62</v>
      </c>
      <c r="J664" s="5">
        <v>11780</v>
      </c>
      <c r="K664" s="4">
        <v>1919</v>
      </c>
      <c r="L664" s="6">
        <v>45688</v>
      </c>
      <c r="M664" s="7">
        <f t="shared" si="30"/>
        <v>5.0599201065246339E-2</v>
      </c>
      <c r="N664" s="7">
        <f t="shared" si="31"/>
        <v>0.40789473684210525</v>
      </c>
      <c r="O664" s="7">
        <f t="shared" si="32"/>
        <v>5.1386138613861387</v>
      </c>
    </row>
    <row r="665" spans="1:15" x14ac:dyDescent="0.35">
      <c r="A665">
        <v>664</v>
      </c>
      <c r="B665">
        <v>54</v>
      </c>
      <c r="C665" t="s">
        <v>19</v>
      </c>
      <c r="D665" t="s">
        <v>16</v>
      </c>
      <c r="E665" t="s">
        <v>34</v>
      </c>
      <c r="F665" t="s">
        <v>22</v>
      </c>
      <c r="G665">
        <v>2087</v>
      </c>
      <c r="H665">
        <v>394</v>
      </c>
      <c r="I665">
        <v>5</v>
      </c>
      <c r="J665" s="5">
        <v>505</v>
      </c>
      <c r="K665" s="4">
        <v>1662</v>
      </c>
      <c r="L665" s="6">
        <v>45722</v>
      </c>
      <c r="M665" s="7">
        <f t="shared" si="30"/>
        <v>0.18878773358888357</v>
      </c>
      <c r="N665" s="7">
        <f t="shared" si="31"/>
        <v>1.2690355329949238E-2</v>
      </c>
      <c r="O665" s="7">
        <f t="shared" si="32"/>
        <v>-0.6961492178098676</v>
      </c>
    </row>
    <row r="666" spans="1:15" x14ac:dyDescent="0.35">
      <c r="A666">
        <v>665</v>
      </c>
      <c r="B666">
        <v>34</v>
      </c>
      <c r="C666" t="s">
        <v>19</v>
      </c>
      <c r="D666" t="s">
        <v>20</v>
      </c>
      <c r="E666" t="s">
        <v>28</v>
      </c>
      <c r="F666" t="s">
        <v>29</v>
      </c>
      <c r="G666">
        <v>3762</v>
      </c>
      <c r="H666">
        <v>231</v>
      </c>
      <c r="I666">
        <v>46</v>
      </c>
      <c r="J666" s="5">
        <v>7268</v>
      </c>
      <c r="K666" s="4">
        <v>604</v>
      </c>
      <c r="L666" s="6">
        <v>45695</v>
      </c>
      <c r="M666" s="7">
        <f t="shared" si="30"/>
        <v>6.1403508771929821E-2</v>
      </c>
      <c r="N666" s="7">
        <f t="shared" si="31"/>
        <v>0.19913419913419914</v>
      </c>
      <c r="O666" s="7">
        <f t="shared" si="32"/>
        <v>11.033112582781458</v>
      </c>
    </row>
    <row r="667" spans="1:15" x14ac:dyDescent="0.35">
      <c r="A667">
        <v>666</v>
      </c>
      <c r="B667">
        <v>34</v>
      </c>
      <c r="C667" t="s">
        <v>12</v>
      </c>
      <c r="D667" t="s">
        <v>13</v>
      </c>
      <c r="E667" t="s">
        <v>34</v>
      </c>
      <c r="F667" t="s">
        <v>31</v>
      </c>
      <c r="G667">
        <v>3158</v>
      </c>
      <c r="H667">
        <v>257</v>
      </c>
      <c r="I667">
        <v>12</v>
      </c>
      <c r="J667" s="5">
        <v>1512</v>
      </c>
      <c r="K667" s="4">
        <v>901</v>
      </c>
      <c r="L667" s="6">
        <v>45775</v>
      </c>
      <c r="M667" s="7">
        <f t="shared" si="30"/>
        <v>8.1380620645978466E-2</v>
      </c>
      <c r="N667" s="7">
        <f t="shared" si="31"/>
        <v>4.6692607003891051E-2</v>
      </c>
      <c r="O667" s="7">
        <f t="shared" si="32"/>
        <v>0.67813540510543835</v>
      </c>
    </row>
    <row r="668" spans="1:15" x14ac:dyDescent="0.35">
      <c r="A668">
        <v>667</v>
      </c>
      <c r="B668">
        <v>31</v>
      </c>
      <c r="C668" t="s">
        <v>19</v>
      </c>
      <c r="D668" t="s">
        <v>13</v>
      </c>
      <c r="E668" t="s">
        <v>28</v>
      </c>
      <c r="F668" t="s">
        <v>22</v>
      </c>
      <c r="G668">
        <v>3149</v>
      </c>
      <c r="H668">
        <v>190</v>
      </c>
      <c r="I668">
        <v>21</v>
      </c>
      <c r="J668" s="5">
        <v>3360</v>
      </c>
      <c r="K668" s="4">
        <v>365</v>
      </c>
      <c r="L668" s="6">
        <v>45692</v>
      </c>
      <c r="M668" s="7">
        <f t="shared" si="30"/>
        <v>6.0336614798348683E-2</v>
      </c>
      <c r="N668" s="7">
        <f t="shared" si="31"/>
        <v>0.11052631578947368</v>
      </c>
      <c r="O668" s="7">
        <f t="shared" si="32"/>
        <v>8.205479452054794</v>
      </c>
    </row>
    <row r="669" spans="1:15" x14ac:dyDescent="0.35">
      <c r="A669">
        <v>668</v>
      </c>
      <c r="B669">
        <v>44</v>
      </c>
      <c r="C669" t="s">
        <v>12</v>
      </c>
      <c r="D669" t="s">
        <v>16</v>
      </c>
      <c r="E669" t="s">
        <v>34</v>
      </c>
      <c r="F669" t="s">
        <v>31</v>
      </c>
      <c r="G669">
        <v>1762</v>
      </c>
      <c r="H669">
        <v>121</v>
      </c>
      <c r="I669">
        <v>65</v>
      </c>
      <c r="J669" s="5">
        <v>8645</v>
      </c>
      <c r="K669" s="4">
        <v>854</v>
      </c>
      <c r="L669" s="6">
        <v>45688</v>
      </c>
      <c r="M669" s="7">
        <f t="shared" si="30"/>
        <v>6.8671963677639045E-2</v>
      </c>
      <c r="N669" s="7">
        <f t="shared" si="31"/>
        <v>0.53719008264462809</v>
      </c>
      <c r="O669" s="7">
        <f t="shared" si="32"/>
        <v>9.1229508196721305</v>
      </c>
    </row>
    <row r="670" spans="1:15" x14ac:dyDescent="0.35">
      <c r="A670">
        <v>669</v>
      </c>
      <c r="B670">
        <v>39</v>
      </c>
      <c r="C670" t="s">
        <v>12</v>
      </c>
      <c r="D670" t="s">
        <v>20</v>
      </c>
      <c r="E670" t="s">
        <v>21</v>
      </c>
      <c r="F670" t="s">
        <v>15</v>
      </c>
      <c r="G670">
        <v>1768</v>
      </c>
      <c r="H670">
        <v>212</v>
      </c>
      <c r="I670">
        <v>64</v>
      </c>
      <c r="J670" s="5">
        <v>9472</v>
      </c>
      <c r="K670" s="4">
        <v>205</v>
      </c>
      <c r="L670" s="6">
        <v>45706</v>
      </c>
      <c r="M670" s="7">
        <f t="shared" si="30"/>
        <v>0.11990950226244344</v>
      </c>
      <c r="N670" s="7">
        <f t="shared" si="31"/>
        <v>0.30188679245283018</v>
      </c>
      <c r="O670" s="7">
        <f t="shared" si="32"/>
        <v>45.204878048780486</v>
      </c>
    </row>
    <row r="671" spans="1:15" x14ac:dyDescent="0.35">
      <c r="A671">
        <v>670</v>
      </c>
      <c r="B671">
        <v>22</v>
      </c>
      <c r="C671" t="s">
        <v>19</v>
      </c>
      <c r="D671" t="s">
        <v>20</v>
      </c>
      <c r="E671" t="s">
        <v>21</v>
      </c>
      <c r="F671" t="s">
        <v>15</v>
      </c>
      <c r="G671">
        <v>906</v>
      </c>
      <c r="H671">
        <v>266</v>
      </c>
      <c r="I671">
        <v>38</v>
      </c>
      <c r="J671" s="5">
        <v>4788</v>
      </c>
      <c r="K671" s="4">
        <v>225</v>
      </c>
      <c r="L671" s="6">
        <v>45677</v>
      </c>
      <c r="M671" s="7">
        <f t="shared" si="30"/>
        <v>0.29359823399558499</v>
      </c>
      <c r="N671" s="7">
        <f t="shared" si="31"/>
        <v>0.14285714285714285</v>
      </c>
      <c r="O671" s="7">
        <f t="shared" si="32"/>
        <v>20.28</v>
      </c>
    </row>
    <row r="672" spans="1:15" x14ac:dyDescent="0.35">
      <c r="A672">
        <v>671</v>
      </c>
      <c r="B672">
        <v>35</v>
      </c>
      <c r="C672" t="s">
        <v>12</v>
      </c>
      <c r="D672" t="s">
        <v>27</v>
      </c>
      <c r="E672" t="s">
        <v>32</v>
      </c>
      <c r="F672" t="s">
        <v>22</v>
      </c>
      <c r="G672">
        <v>4985</v>
      </c>
      <c r="H672">
        <v>247</v>
      </c>
      <c r="I672">
        <v>63</v>
      </c>
      <c r="J672" s="5">
        <v>12159</v>
      </c>
      <c r="K672" s="4">
        <v>1671</v>
      </c>
      <c r="L672" s="6">
        <v>45674</v>
      </c>
      <c r="M672" s="7">
        <f t="shared" si="30"/>
        <v>4.954864593781344E-2</v>
      </c>
      <c r="N672" s="7">
        <f t="shared" si="31"/>
        <v>0.25506072874493929</v>
      </c>
      <c r="O672" s="7">
        <f t="shared" si="32"/>
        <v>6.2764811490125672</v>
      </c>
    </row>
    <row r="673" spans="1:15" x14ac:dyDescent="0.35">
      <c r="A673">
        <v>672</v>
      </c>
      <c r="B673">
        <v>32</v>
      </c>
      <c r="C673" t="s">
        <v>19</v>
      </c>
      <c r="D673" t="s">
        <v>23</v>
      </c>
      <c r="E673" t="s">
        <v>24</v>
      </c>
      <c r="F673" t="s">
        <v>22</v>
      </c>
      <c r="G673">
        <v>1985</v>
      </c>
      <c r="H673">
        <v>62</v>
      </c>
      <c r="I673">
        <v>11</v>
      </c>
      <c r="J673" s="5">
        <v>1353</v>
      </c>
      <c r="K673" s="4">
        <v>583</v>
      </c>
      <c r="L673" s="6">
        <v>45720</v>
      </c>
      <c r="M673" s="7">
        <f t="shared" si="30"/>
        <v>3.1234256926952142E-2</v>
      </c>
      <c r="N673" s="7">
        <f t="shared" si="31"/>
        <v>0.17741935483870969</v>
      </c>
      <c r="O673" s="7">
        <f t="shared" si="32"/>
        <v>1.320754716981132</v>
      </c>
    </row>
    <row r="674" spans="1:15" x14ac:dyDescent="0.35">
      <c r="A674">
        <v>673</v>
      </c>
      <c r="B674">
        <v>49</v>
      </c>
      <c r="C674" t="s">
        <v>19</v>
      </c>
      <c r="D674" t="s">
        <v>27</v>
      </c>
      <c r="E674" t="s">
        <v>21</v>
      </c>
      <c r="F674" t="s">
        <v>22</v>
      </c>
      <c r="G674">
        <v>1503</v>
      </c>
      <c r="H674">
        <v>468</v>
      </c>
      <c r="I674">
        <v>39</v>
      </c>
      <c r="J674" s="5">
        <v>4446</v>
      </c>
      <c r="K674" s="4">
        <v>1835</v>
      </c>
      <c r="L674" s="6">
        <v>45705</v>
      </c>
      <c r="M674" s="7">
        <f t="shared" si="30"/>
        <v>0.31137724550898205</v>
      </c>
      <c r="N674" s="7">
        <f t="shared" si="31"/>
        <v>8.3333333333333329E-2</v>
      </c>
      <c r="O674" s="7">
        <f t="shared" si="32"/>
        <v>1.4228882833787466</v>
      </c>
    </row>
    <row r="675" spans="1:15" x14ac:dyDescent="0.35">
      <c r="A675">
        <v>674</v>
      </c>
      <c r="B675">
        <v>24</v>
      </c>
      <c r="C675" t="s">
        <v>12</v>
      </c>
      <c r="D675" t="s">
        <v>16</v>
      </c>
      <c r="E675" t="s">
        <v>33</v>
      </c>
      <c r="F675" t="s">
        <v>29</v>
      </c>
      <c r="G675">
        <v>2591</v>
      </c>
      <c r="H675">
        <v>409</v>
      </c>
      <c r="I675">
        <v>28</v>
      </c>
      <c r="J675" s="5">
        <v>2688</v>
      </c>
      <c r="K675" s="4">
        <v>1540</v>
      </c>
      <c r="L675" s="6">
        <v>45722</v>
      </c>
      <c r="M675" s="7">
        <f t="shared" si="30"/>
        <v>0.15785411038209185</v>
      </c>
      <c r="N675" s="7">
        <f t="shared" si="31"/>
        <v>6.8459657701711488E-2</v>
      </c>
      <c r="O675" s="7">
        <f t="shared" si="32"/>
        <v>0.74545454545454548</v>
      </c>
    </row>
    <row r="676" spans="1:15" x14ac:dyDescent="0.35">
      <c r="A676">
        <v>675</v>
      </c>
      <c r="B676">
        <v>31</v>
      </c>
      <c r="C676" t="s">
        <v>19</v>
      </c>
      <c r="D676" t="s">
        <v>27</v>
      </c>
      <c r="E676" t="s">
        <v>25</v>
      </c>
      <c r="F676" t="s">
        <v>15</v>
      </c>
      <c r="G676">
        <v>2902</v>
      </c>
      <c r="H676">
        <v>337</v>
      </c>
      <c r="I676">
        <v>40</v>
      </c>
      <c r="J676" s="5">
        <v>5960</v>
      </c>
      <c r="K676" s="4">
        <v>1364</v>
      </c>
      <c r="L676" s="6">
        <v>45769</v>
      </c>
      <c r="M676" s="7">
        <f t="shared" si="30"/>
        <v>0.11612680909717436</v>
      </c>
      <c r="N676" s="7">
        <f t="shared" si="31"/>
        <v>0.11869436201780416</v>
      </c>
      <c r="O676" s="7">
        <f t="shared" si="32"/>
        <v>3.3695014662756599</v>
      </c>
    </row>
    <row r="677" spans="1:15" x14ac:dyDescent="0.35">
      <c r="A677">
        <v>676</v>
      </c>
      <c r="B677">
        <v>33</v>
      </c>
      <c r="C677" t="s">
        <v>12</v>
      </c>
      <c r="D677" t="s">
        <v>27</v>
      </c>
      <c r="E677" t="s">
        <v>32</v>
      </c>
      <c r="F677" t="s">
        <v>22</v>
      </c>
      <c r="G677">
        <v>4407</v>
      </c>
      <c r="H677">
        <v>345</v>
      </c>
      <c r="I677">
        <v>63</v>
      </c>
      <c r="J677" s="5">
        <v>10773</v>
      </c>
      <c r="K677" s="4">
        <v>1943</v>
      </c>
      <c r="L677" s="6">
        <v>45702</v>
      </c>
      <c r="M677" s="7">
        <f t="shared" si="30"/>
        <v>7.8284547311095978E-2</v>
      </c>
      <c r="N677" s="7">
        <f t="shared" si="31"/>
        <v>0.18260869565217391</v>
      </c>
      <c r="O677" s="7">
        <f t="shared" si="32"/>
        <v>4.5445187853834277</v>
      </c>
    </row>
    <row r="678" spans="1:15" x14ac:dyDescent="0.35">
      <c r="A678">
        <v>677</v>
      </c>
      <c r="B678">
        <v>25</v>
      </c>
      <c r="C678" t="s">
        <v>12</v>
      </c>
      <c r="D678" t="s">
        <v>27</v>
      </c>
      <c r="E678" t="s">
        <v>17</v>
      </c>
      <c r="F678" t="s">
        <v>22</v>
      </c>
      <c r="G678">
        <v>1807</v>
      </c>
      <c r="H678">
        <v>401</v>
      </c>
      <c r="I678">
        <v>70</v>
      </c>
      <c r="J678" s="5">
        <v>5740</v>
      </c>
      <c r="K678" s="4">
        <v>1510</v>
      </c>
      <c r="L678" s="6">
        <v>45672</v>
      </c>
      <c r="M678" s="7">
        <f t="shared" si="30"/>
        <v>0.2219147758716104</v>
      </c>
      <c r="N678" s="7">
        <f t="shared" si="31"/>
        <v>0.1745635910224439</v>
      </c>
      <c r="O678" s="7">
        <f t="shared" si="32"/>
        <v>2.8013245033112582</v>
      </c>
    </row>
    <row r="679" spans="1:15" x14ac:dyDescent="0.35">
      <c r="A679">
        <v>678</v>
      </c>
      <c r="B679">
        <v>19</v>
      </c>
      <c r="C679" t="s">
        <v>19</v>
      </c>
      <c r="D679" t="s">
        <v>16</v>
      </c>
      <c r="E679" t="s">
        <v>17</v>
      </c>
      <c r="F679" t="s">
        <v>18</v>
      </c>
      <c r="G679">
        <v>4766</v>
      </c>
      <c r="H679">
        <v>208</v>
      </c>
      <c r="I679">
        <v>77</v>
      </c>
      <c r="J679" s="5">
        <v>9548</v>
      </c>
      <c r="K679" s="4">
        <v>1710</v>
      </c>
      <c r="L679" s="6">
        <v>45728</v>
      </c>
      <c r="M679" s="7">
        <f t="shared" si="30"/>
        <v>4.3642467477968946E-2</v>
      </c>
      <c r="N679" s="7">
        <f t="shared" si="31"/>
        <v>0.37019230769230771</v>
      </c>
      <c r="O679" s="7">
        <f t="shared" si="32"/>
        <v>4.5836257309941519</v>
      </c>
    </row>
    <row r="680" spans="1:15" x14ac:dyDescent="0.35">
      <c r="A680">
        <v>679</v>
      </c>
      <c r="B680">
        <v>47</v>
      </c>
      <c r="C680" t="s">
        <v>12</v>
      </c>
      <c r="D680" t="s">
        <v>16</v>
      </c>
      <c r="E680" t="s">
        <v>21</v>
      </c>
      <c r="F680" t="s">
        <v>15</v>
      </c>
      <c r="G680">
        <v>4075</v>
      </c>
      <c r="H680">
        <v>413</v>
      </c>
      <c r="I680">
        <v>61</v>
      </c>
      <c r="J680" s="5">
        <v>10858</v>
      </c>
      <c r="K680" s="4">
        <v>1175</v>
      </c>
      <c r="L680" s="6">
        <v>45759</v>
      </c>
      <c r="M680" s="7">
        <f t="shared" si="30"/>
        <v>0.10134969325153374</v>
      </c>
      <c r="N680" s="7">
        <f t="shared" si="31"/>
        <v>0.14769975786924938</v>
      </c>
      <c r="O680" s="7">
        <f t="shared" si="32"/>
        <v>8.2408510638297869</v>
      </c>
    </row>
    <row r="681" spans="1:15" x14ac:dyDescent="0.35">
      <c r="A681">
        <v>680</v>
      </c>
      <c r="B681">
        <v>51</v>
      </c>
      <c r="C681" t="s">
        <v>19</v>
      </c>
      <c r="D681" t="s">
        <v>23</v>
      </c>
      <c r="E681" t="s">
        <v>14</v>
      </c>
      <c r="F681" t="s">
        <v>29</v>
      </c>
      <c r="G681">
        <v>1157</v>
      </c>
      <c r="H681">
        <v>419</v>
      </c>
      <c r="I681">
        <v>73</v>
      </c>
      <c r="J681" s="5">
        <v>8614</v>
      </c>
      <c r="K681" s="4">
        <v>932</v>
      </c>
      <c r="L681" s="6">
        <v>45726</v>
      </c>
      <c r="M681" s="7">
        <f t="shared" si="30"/>
        <v>0.36214347450302509</v>
      </c>
      <c r="N681" s="7">
        <f t="shared" si="31"/>
        <v>0.17422434367541767</v>
      </c>
      <c r="O681" s="7">
        <f t="shared" si="32"/>
        <v>8.2424892703862653</v>
      </c>
    </row>
    <row r="682" spans="1:15" x14ac:dyDescent="0.35">
      <c r="A682">
        <v>681</v>
      </c>
      <c r="B682">
        <v>21</v>
      </c>
      <c r="C682" t="s">
        <v>12</v>
      </c>
      <c r="D682" t="s">
        <v>23</v>
      </c>
      <c r="E682" t="s">
        <v>14</v>
      </c>
      <c r="F682" t="s">
        <v>29</v>
      </c>
      <c r="G682">
        <v>2897</v>
      </c>
      <c r="H682">
        <v>439</v>
      </c>
      <c r="I682">
        <v>60</v>
      </c>
      <c r="J682" s="5">
        <v>11340</v>
      </c>
      <c r="K682" s="4">
        <v>1857</v>
      </c>
      <c r="L682" s="6">
        <v>45663</v>
      </c>
      <c r="M682" s="7">
        <f t="shared" si="30"/>
        <v>0.15153607179841216</v>
      </c>
      <c r="N682" s="7">
        <f t="shared" si="31"/>
        <v>0.1366742596810934</v>
      </c>
      <c r="O682" s="7">
        <f t="shared" si="32"/>
        <v>5.1066235864297251</v>
      </c>
    </row>
    <row r="683" spans="1:15" x14ac:dyDescent="0.35">
      <c r="A683">
        <v>682</v>
      </c>
      <c r="B683">
        <v>26</v>
      </c>
      <c r="C683" t="s">
        <v>19</v>
      </c>
      <c r="D683" t="s">
        <v>13</v>
      </c>
      <c r="E683" t="s">
        <v>25</v>
      </c>
      <c r="F683" t="s">
        <v>31</v>
      </c>
      <c r="G683">
        <v>787</v>
      </c>
      <c r="H683">
        <v>155</v>
      </c>
      <c r="I683">
        <v>22</v>
      </c>
      <c r="J683" s="5">
        <v>3850</v>
      </c>
      <c r="K683" s="4">
        <v>1647</v>
      </c>
      <c r="L683" s="6">
        <v>45731</v>
      </c>
      <c r="M683" s="7">
        <f t="shared" si="30"/>
        <v>0.19695044472681067</v>
      </c>
      <c r="N683" s="7">
        <f t="shared" si="31"/>
        <v>0.14193548387096774</v>
      </c>
      <c r="O683" s="7">
        <f t="shared" si="32"/>
        <v>1.3375834851244688</v>
      </c>
    </row>
    <row r="684" spans="1:15" x14ac:dyDescent="0.35">
      <c r="A684">
        <v>683</v>
      </c>
      <c r="B684">
        <v>28</v>
      </c>
      <c r="C684" t="s">
        <v>19</v>
      </c>
      <c r="D684" t="s">
        <v>16</v>
      </c>
      <c r="E684" t="s">
        <v>34</v>
      </c>
      <c r="F684" t="s">
        <v>31</v>
      </c>
      <c r="G684">
        <v>1735</v>
      </c>
      <c r="H684">
        <v>55</v>
      </c>
      <c r="I684">
        <v>67</v>
      </c>
      <c r="J684" s="5">
        <v>12395</v>
      </c>
      <c r="K684" s="4">
        <v>1034</v>
      </c>
      <c r="L684" s="6">
        <v>45753</v>
      </c>
      <c r="M684" s="7">
        <f t="shared" si="30"/>
        <v>3.1700288184438041E-2</v>
      </c>
      <c r="N684" s="7">
        <f t="shared" si="31"/>
        <v>1.2181818181818183</v>
      </c>
      <c r="O684" s="7">
        <f t="shared" si="32"/>
        <v>10.987427466150871</v>
      </c>
    </row>
    <row r="685" spans="1:15" x14ac:dyDescent="0.35">
      <c r="A685">
        <v>684</v>
      </c>
      <c r="B685">
        <v>49</v>
      </c>
      <c r="C685" t="s">
        <v>19</v>
      </c>
      <c r="D685" t="s">
        <v>13</v>
      </c>
      <c r="E685" t="s">
        <v>28</v>
      </c>
      <c r="F685" t="s">
        <v>15</v>
      </c>
      <c r="G685">
        <v>1975</v>
      </c>
      <c r="H685">
        <v>386</v>
      </c>
      <c r="I685">
        <v>45</v>
      </c>
      <c r="J685" s="5">
        <v>3780</v>
      </c>
      <c r="K685" s="4">
        <v>1178</v>
      </c>
      <c r="L685" s="6">
        <v>45777</v>
      </c>
      <c r="M685" s="7">
        <f t="shared" si="30"/>
        <v>0.19544303797468354</v>
      </c>
      <c r="N685" s="7">
        <f t="shared" si="31"/>
        <v>0.11658031088082901</v>
      </c>
      <c r="O685" s="7">
        <f t="shared" si="32"/>
        <v>2.2088285229202036</v>
      </c>
    </row>
    <row r="686" spans="1:15" x14ac:dyDescent="0.35">
      <c r="A686">
        <v>685</v>
      </c>
      <c r="B686">
        <v>39</v>
      </c>
      <c r="C686" t="s">
        <v>19</v>
      </c>
      <c r="D686" t="s">
        <v>26</v>
      </c>
      <c r="E686" t="s">
        <v>14</v>
      </c>
      <c r="F686" t="s">
        <v>18</v>
      </c>
      <c r="G686">
        <v>3001</v>
      </c>
      <c r="H686">
        <v>340</v>
      </c>
      <c r="I686">
        <v>26</v>
      </c>
      <c r="J686" s="5">
        <v>4238</v>
      </c>
      <c r="K686" s="4">
        <v>1416</v>
      </c>
      <c r="L686" s="6">
        <v>45668</v>
      </c>
      <c r="M686" s="7">
        <f t="shared" si="30"/>
        <v>0.11329556814395202</v>
      </c>
      <c r="N686" s="7">
        <f t="shared" si="31"/>
        <v>7.6470588235294124E-2</v>
      </c>
      <c r="O686" s="7">
        <f t="shared" si="32"/>
        <v>1.9929378531073447</v>
      </c>
    </row>
    <row r="687" spans="1:15" x14ac:dyDescent="0.35">
      <c r="A687">
        <v>686</v>
      </c>
      <c r="B687">
        <v>29</v>
      </c>
      <c r="C687" t="s">
        <v>12</v>
      </c>
      <c r="D687" t="s">
        <v>23</v>
      </c>
      <c r="E687" t="s">
        <v>14</v>
      </c>
      <c r="F687" t="s">
        <v>22</v>
      </c>
      <c r="G687">
        <v>1472</v>
      </c>
      <c r="H687">
        <v>300</v>
      </c>
      <c r="I687">
        <v>7</v>
      </c>
      <c r="J687" s="5">
        <v>973</v>
      </c>
      <c r="K687" s="4">
        <v>1616</v>
      </c>
      <c r="L687" s="6">
        <v>45671</v>
      </c>
      <c r="M687" s="7">
        <f t="shared" si="30"/>
        <v>0.20380434782608695</v>
      </c>
      <c r="N687" s="7">
        <f t="shared" si="31"/>
        <v>2.3333333333333334E-2</v>
      </c>
      <c r="O687" s="7">
        <f t="shared" si="32"/>
        <v>-0.39789603960396042</v>
      </c>
    </row>
    <row r="688" spans="1:15" x14ac:dyDescent="0.35">
      <c r="A688">
        <v>687</v>
      </c>
      <c r="B688">
        <v>22</v>
      </c>
      <c r="C688" t="s">
        <v>12</v>
      </c>
      <c r="D688" t="s">
        <v>16</v>
      </c>
      <c r="E688" t="s">
        <v>32</v>
      </c>
      <c r="F688" t="s">
        <v>15</v>
      </c>
      <c r="G688">
        <v>724</v>
      </c>
      <c r="H688">
        <v>67</v>
      </c>
      <c r="I688">
        <v>77</v>
      </c>
      <c r="J688" s="5">
        <v>12474</v>
      </c>
      <c r="K688" s="4">
        <v>913</v>
      </c>
      <c r="L688" s="6">
        <v>45744</v>
      </c>
      <c r="M688" s="7">
        <f t="shared" si="30"/>
        <v>9.2541436464088397E-2</v>
      </c>
      <c r="N688" s="7">
        <f t="shared" si="31"/>
        <v>1.1492537313432836</v>
      </c>
      <c r="O688" s="7">
        <f t="shared" si="32"/>
        <v>12.662650602409638</v>
      </c>
    </row>
    <row r="689" spans="1:15" x14ac:dyDescent="0.35">
      <c r="A689">
        <v>688</v>
      </c>
      <c r="B689">
        <v>42</v>
      </c>
      <c r="C689" t="s">
        <v>12</v>
      </c>
      <c r="D689" t="s">
        <v>16</v>
      </c>
      <c r="E689" t="s">
        <v>21</v>
      </c>
      <c r="F689" t="s">
        <v>22</v>
      </c>
      <c r="G689">
        <v>4625</v>
      </c>
      <c r="H689">
        <v>330</v>
      </c>
      <c r="I689">
        <v>32</v>
      </c>
      <c r="J689" s="5">
        <v>6368</v>
      </c>
      <c r="K689" s="4">
        <v>1460</v>
      </c>
      <c r="L689" s="6">
        <v>45735</v>
      </c>
      <c r="M689" s="7">
        <f t="shared" si="30"/>
        <v>7.1351351351351358E-2</v>
      </c>
      <c r="N689" s="7">
        <f t="shared" si="31"/>
        <v>9.696969696969697E-2</v>
      </c>
      <c r="O689" s="7">
        <f t="shared" si="32"/>
        <v>3.3616438356164382</v>
      </c>
    </row>
    <row r="690" spans="1:15" x14ac:dyDescent="0.35">
      <c r="A690">
        <v>689</v>
      </c>
      <c r="B690">
        <v>52</v>
      </c>
      <c r="C690" t="s">
        <v>12</v>
      </c>
      <c r="D690" t="s">
        <v>13</v>
      </c>
      <c r="E690" t="s">
        <v>32</v>
      </c>
      <c r="F690" t="s">
        <v>31</v>
      </c>
      <c r="G690">
        <v>4061</v>
      </c>
      <c r="H690">
        <v>363</v>
      </c>
      <c r="I690">
        <v>45</v>
      </c>
      <c r="J690" s="5">
        <v>7065</v>
      </c>
      <c r="K690" s="4">
        <v>1248</v>
      </c>
      <c r="L690" s="6">
        <v>45705</v>
      </c>
      <c r="M690" s="7">
        <f t="shared" si="30"/>
        <v>8.9386850529426243E-2</v>
      </c>
      <c r="N690" s="7">
        <f t="shared" si="31"/>
        <v>0.12396694214876033</v>
      </c>
      <c r="O690" s="7">
        <f t="shared" si="32"/>
        <v>4.6610576923076925</v>
      </c>
    </row>
    <row r="691" spans="1:15" x14ac:dyDescent="0.35">
      <c r="A691">
        <v>690</v>
      </c>
      <c r="B691">
        <v>38</v>
      </c>
      <c r="C691" t="s">
        <v>12</v>
      </c>
      <c r="D691" t="s">
        <v>23</v>
      </c>
      <c r="E691" t="s">
        <v>28</v>
      </c>
      <c r="F691" t="s">
        <v>29</v>
      </c>
      <c r="G691">
        <v>2301</v>
      </c>
      <c r="H691">
        <v>148</v>
      </c>
      <c r="I691">
        <v>79</v>
      </c>
      <c r="J691" s="5">
        <v>12956</v>
      </c>
      <c r="K691" s="4">
        <v>1746</v>
      </c>
      <c r="L691" s="6">
        <v>45702</v>
      </c>
      <c r="M691" s="7">
        <f t="shared" si="30"/>
        <v>6.431986093003042E-2</v>
      </c>
      <c r="N691" s="7">
        <f t="shared" si="31"/>
        <v>0.53378378378378377</v>
      </c>
      <c r="O691" s="7">
        <f t="shared" si="32"/>
        <v>6.4203894616265753</v>
      </c>
    </row>
    <row r="692" spans="1:15" x14ac:dyDescent="0.35">
      <c r="A692">
        <v>691</v>
      </c>
      <c r="B692">
        <v>19</v>
      </c>
      <c r="C692" t="s">
        <v>19</v>
      </c>
      <c r="D692" t="s">
        <v>20</v>
      </c>
      <c r="E692" t="s">
        <v>30</v>
      </c>
      <c r="F692" t="s">
        <v>31</v>
      </c>
      <c r="G692">
        <v>3450</v>
      </c>
      <c r="H692">
        <v>258</v>
      </c>
      <c r="I692">
        <v>68</v>
      </c>
      <c r="J692" s="5">
        <v>9724</v>
      </c>
      <c r="K692" s="4">
        <v>1093</v>
      </c>
      <c r="L692" s="6">
        <v>45699</v>
      </c>
      <c r="M692" s="7">
        <f t="shared" si="30"/>
        <v>7.4782608695652175E-2</v>
      </c>
      <c r="N692" s="7">
        <f t="shared" si="31"/>
        <v>0.26356589147286824</v>
      </c>
      <c r="O692" s="7">
        <f t="shared" si="32"/>
        <v>7.8966148215919487</v>
      </c>
    </row>
    <row r="693" spans="1:15" x14ac:dyDescent="0.35">
      <c r="A693">
        <v>692</v>
      </c>
      <c r="B693">
        <v>35</v>
      </c>
      <c r="C693" t="s">
        <v>19</v>
      </c>
      <c r="D693" t="s">
        <v>16</v>
      </c>
      <c r="E693" t="s">
        <v>24</v>
      </c>
      <c r="F693" t="s">
        <v>31</v>
      </c>
      <c r="G693">
        <v>1477</v>
      </c>
      <c r="H693">
        <v>103</v>
      </c>
      <c r="I693">
        <v>79</v>
      </c>
      <c r="J693" s="5">
        <v>15168</v>
      </c>
      <c r="K693" s="4">
        <v>983</v>
      </c>
      <c r="L693" s="6">
        <v>45774</v>
      </c>
      <c r="M693" s="7">
        <f t="shared" si="30"/>
        <v>6.9735951252538925E-2</v>
      </c>
      <c r="N693" s="7">
        <f t="shared" si="31"/>
        <v>0.76699029126213591</v>
      </c>
      <c r="O693" s="7">
        <f t="shared" si="32"/>
        <v>14.430315361139369</v>
      </c>
    </row>
    <row r="694" spans="1:15" x14ac:dyDescent="0.35">
      <c r="A694">
        <v>693</v>
      </c>
      <c r="B694">
        <v>29</v>
      </c>
      <c r="C694" t="s">
        <v>19</v>
      </c>
      <c r="D694" t="s">
        <v>13</v>
      </c>
      <c r="E694" t="s">
        <v>32</v>
      </c>
      <c r="F694" t="s">
        <v>31</v>
      </c>
      <c r="G694">
        <v>686</v>
      </c>
      <c r="H694">
        <v>395</v>
      </c>
      <c r="I694">
        <v>20</v>
      </c>
      <c r="J694" s="5">
        <v>2720</v>
      </c>
      <c r="K694" s="4">
        <v>461</v>
      </c>
      <c r="L694" s="6">
        <v>45760</v>
      </c>
      <c r="M694" s="7">
        <f t="shared" si="30"/>
        <v>0.57580174927113703</v>
      </c>
      <c r="N694" s="7">
        <f t="shared" si="31"/>
        <v>5.0632911392405063E-2</v>
      </c>
      <c r="O694" s="7">
        <f t="shared" si="32"/>
        <v>4.9002169197396963</v>
      </c>
    </row>
    <row r="695" spans="1:15" x14ac:dyDescent="0.35">
      <c r="A695">
        <v>694</v>
      </c>
      <c r="B695">
        <v>29</v>
      </c>
      <c r="C695" t="s">
        <v>12</v>
      </c>
      <c r="D695" t="s">
        <v>23</v>
      </c>
      <c r="E695" t="s">
        <v>34</v>
      </c>
      <c r="F695" t="s">
        <v>15</v>
      </c>
      <c r="G695">
        <v>2830</v>
      </c>
      <c r="H695">
        <v>128</v>
      </c>
      <c r="I695">
        <v>76</v>
      </c>
      <c r="J695" s="5">
        <v>10792</v>
      </c>
      <c r="K695" s="4">
        <v>1486</v>
      </c>
      <c r="L695" s="6">
        <v>45720</v>
      </c>
      <c r="M695" s="7">
        <f t="shared" si="30"/>
        <v>4.5229681978798585E-2</v>
      </c>
      <c r="N695" s="7">
        <f t="shared" si="31"/>
        <v>0.59375</v>
      </c>
      <c r="O695" s="7">
        <f t="shared" si="32"/>
        <v>6.2624495289367426</v>
      </c>
    </row>
    <row r="696" spans="1:15" x14ac:dyDescent="0.35">
      <c r="A696">
        <v>695</v>
      </c>
      <c r="B696">
        <v>22</v>
      </c>
      <c r="C696" t="s">
        <v>12</v>
      </c>
      <c r="D696" t="s">
        <v>13</v>
      </c>
      <c r="E696" t="s">
        <v>21</v>
      </c>
      <c r="F696" t="s">
        <v>29</v>
      </c>
      <c r="G696">
        <v>4848</v>
      </c>
      <c r="H696">
        <v>425</v>
      </c>
      <c r="I696">
        <v>40</v>
      </c>
      <c r="J696" s="5">
        <v>3480</v>
      </c>
      <c r="K696" s="4">
        <v>1180</v>
      </c>
      <c r="L696" s="6">
        <v>45737</v>
      </c>
      <c r="M696" s="7">
        <f t="shared" si="30"/>
        <v>8.7665016501650164E-2</v>
      </c>
      <c r="N696" s="7">
        <f t="shared" si="31"/>
        <v>9.4117647058823528E-2</v>
      </c>
      <c r="O696" s="7">
        <f t="shared" si="32"/>
        <v>1.9491525423728813</v>
      </c>
    </row>
    <row r="697" spans="1:15" x14ac:dyDescent="0.35">
      <c r="A697">
        <v>696</v>
      </c>
      <c r="B697">
        <v>47</v>
      </c>
      <c r="C697" t="s">
        <v>19</v>
      </c>
      <c r="D697" t="s">
        <v>27</v>
      </c>
      <c r="E697" t="s">
        <v>14</v>
      </c>
      <c r="F697" t="s">
        <v>18</v>
      </c>
      <c r="G697">
        <v>3351</v>
      </c>
      <c r="H697">
        <v>333</v>
      </c>
      <c r="I697">
        <v>51</v>
      </c>
      <c r="J697" s="5">
        <v>9180</v>
      </c>
      <c r="K697" s="4">
        <v>275</v>
      </c>
      <c r="L697" s="6">
        <v>45673</v>
      </c>
      <c r="M697" s="7">
        <f t="shared" si="30"/>
        <v>9.9373321396598033E-2</v>
      </c>
      <c r="N697" s="7">
        <f t="shared" si="31"/>
        <v>0.15315315315315314</v>
      </c>
      <c r="O697" s="7">
        <f t="shared" si="32"/>
        <v>32.381818181818183</v>
      </c>
    </row>
    <row r="698" spans="1:15" x14ac:dyDescent="0.35">
      <c r="A698">
        <v>697</v>
      </c>
      <c r="B698">
        <v>46</v>
      </c>
      <c r="C698" t="s">
        <v>19</v>
      </c>
      <c r="D698" t="s">
        <v>13</v>
      </c>
      <c r="E698" t="s">
        <v>24</v>
      </c>
      <c r="F698" t="s">
        <v>31</v>
      </c>
      <c r="G698">
        <v>1469</v>
      </c>
      <c r="H698">
        <v>120</v>
      </c>
      <c r="I698">
        <v>56</v>
      </c>
      <c r="J698" s="5">
        <v>6496</v>
      </c>
      <c r="K698" s="4">
        <v>1347</v>
      </c>
      <c r="L698" s="6">
        <v>45672</v>
      </c>
      <c r="M698" s="7">
        <f t="shared" si="30"/>
        <v>8.168822328114364E-2</v>
      </c>
      <c r="N698" s="7">
        <f t="shared" si="31"/>
        <v>0.46666666666666667</v>
      </c>
      <c r="O698" s="7">
        <f t="shared" si="32"/>
        <v>3.8225686711210098</v>
      </c>
    </row>
    <row r="699" spans="1:15" x14ac:dyDescent="0.35">
      <c r="A699">
        <v>698</v>
      </c>
      <c r="B699">
        <v>30</v>
      </c>
      <c r="C699" t="s">
        <v>19</v>
      </c>
      <c r="D699" t="s">
        <v>20</v>
      </c>
      <c r="E699" t="s">
        <v>21</v>
      </c>
      <c r="F699" t="s">
        <v>29</v>
      </c>
      <c r="G699">
        <v>4823</v>
      </c>
      <c r="H699">
        <v>480</v>
      </c>
      <c r="I699">
        <v>50</v>
      </c>
      <c r="J699" s="5">
        <v>4900</v>
      </c>
      <c r="K699" s="4">
        <v>1659</v>
      </c>
      <c r="L699" s="6">
        <v>45678</v>
      </c>
      <c r="M699" s="7">
        <f t="shared" si="30"/>
        <v>9.9523118391042914E-2</v>
      </c>
      <c r="N699" s="7">
        <f t="shared" si="31"/>
        <v>0.10416666666666667</v>
      </c>
      <c r="O699" s="7">
        <f t="shared" si="32"/>
        <v>1.9535864978902953</v>
      </c>
    </row>
    <row r="700" spans="1:15" x14ac:dyDescent="0.35">
      <c r="A700">
        <v>699</v>
      </c>
      <c r="B700">
        <v>46</v>
      </c>
      <c r="C700" t="s">
        <v>19</v>
      </c>
      <c r="D700" t="s">
        <v>20</v>
      </c>
      <c r="E700" t="s">
        <v>32</v>
      </c>
      <c r="F700" t="s">
        <v>31</v>
      </c>
      <c r="G700">
        <v>4659</v>
      </c>
      <c r="H700">
        <v>214</v>
      </c>
      <c r="I700">
        <v>31</v>
      </c>
      <c r="J700" s="5">
        <v>6045</v>
      </c>
      <c r="K700" s="4">
        <v>1534</v>
      </c>
      <c r="L700" s="6">
        <v>45682</v>
      </c>
      <c r="M700" s="7">
        <f t="shared" si="30"/>
        <v>4.5932603562996353E-2</v>
      </c>
      <c r="N700" s="7">
        <f t="shared" si="31"/>
        <v>0.14485981308411214</v>
      </c>
      <c r="O700" s="7">
        <f t="shared" si="32"/>
        <v>2.9406779661016951</v>
      </c>
    </row>
    <row r="701" spans="1:15" x14ac:dyDescent="0.35">
      <c r="A701">
        <v>700</v>
      </c>
      <c r="B701">
        <v>35</v>
      </c>
      <c r="C701" t="s">
        <v>19</v>
      </c>
      <c r="D701" t="s">
        <v>27</v>
      </c>
      <c r="E701" t="s">
        <v>25</v>
      </c>
      <c r="F701" t="s">
        <v>31</v>
      </c>
      <c r="G701">
        <v>1687</v>
      </c>
      <c r="H701">
        <v>435</v>
      </c>
      <c r="I701">
        <v>26</v>
      </c>
      <c r="J701" s="5">
        <v>2470</v>
      </c>
      <c r="K701" s="4">
        <v>423</v>
      </c>
      <c r="L701" s="6">
        <v>45711</v>
      </c>
      <c r="M701" s="7">
        <f t="shared" si="30"/>
        <v>0.25785417901600477</v>
      </c>
      <c r="N701" s="7">
        <f t="shared" si="31"/>
        <v>5.9770114942528735E-2</v>
      </c>
      <c r="O701" s="7">
        <f t="shared" si="32"/>
        <v>4.8392434988179671</v>
      </c>
    </row>
    <row r="702" spans="1:15" x14ac:dyDescent="0.35">
      <c r="A702">
        <v>701</v>
      </c>
      <c r="B702">
        <v>30</v>
      </c>
      <c r="C702" t="s">
        <v>12</v>
      </c>
      <c r="D702" t="s">
        <v>27</v>
      </c>
      <c r="E702" t="s">
        <v>28</v>
      </c>
      <c r="F702" t="s">
        <v>18</v>
      </c>
      <c r="G702">
        <v>4439</v>
      </c>
      <c r="H702">
        <v>79</v>
      </c>
      <c r="I702">
        <v>49</v>
      </c>
      <c r="J702" s="5">
        <v>5537</v>
      </c>
      <c r="K702" s="4">
        <v>670</v>
      </c>
      <c r="L702" s="6">
        <v>45750</v>
      </c>
      <c r="M702" s="7">
        <f t="shared" si="30"/>
        <v>1.7796801081324622E-2</v>
      </c>
      <c r="N702" s="7">
        <f t="shared" si="31"/>
        <v>0.620253164556962</v>
      </c>
      <c r="O702" s="7">
        <f t="shared" si="32"/>
        <v>7.2641791044776118</v>
      </c>
    </row>
    <row r="703" spans="1:15" x14ac:dyDescent="0.35">
      <c r="A703">
        <v>702</v>
      </c>
      <c r="B703">
        <v>26</v>
      </c>
      <c r="C703" t="s">
        <v>12</v>
      </c>
      <c r="D703" t="s">
        <v>23</v>
      </c>
      <c r="E703" t="s">
        <v>14</v>
      </c>
      <c r="F703" t="s">
        <v>15</v>
      </c>
      <c r="G703">
        <v>3081</v>
      </c>
      <c r="H703">
        <v>229</v>
      </c>
      <c r="I703">
        <v>56</v>
      </c>
      <c r="J703" s="5">
        <v>6440</v>
      </c>
      <c r="K703" s="4">
        <v>1590</v>
      </c>
      <c r="L703" s="6">
        <v>45772</v>
      </c>
      <c r="M703" s="7">
        <f t="shared" si="30"/>
        <v>7.4326517364492042E-2</v>
      </c>
      <c r="N703" s="7">
        <f t="shared" si="31"/>
        <v>0.24454148471615719</v>
      </c>
      <c r="O703" s="7">
        <f t="shared" si="32"/>
        <v>3.050314465408805</v>
      </c>
    </row>
    <row r="704" spans="1:15" x14ac:dyDescent="0.35">
      <c r="A704">
        <v>703</v>
      </c>
      <c r="B704">
        <v>21</v>
      </c>
      <c r="C704" t="s">
        <v>12</v>
      </c>
      <c r="D704" t="s">
        <v>27</v>
      </c>
      <c r="E704" t="s">
        <v>33</v>
      </c>
      <c r="F704" t="s">
        <v>31</v>
      </c>
      <c r="G704">
        <v>3906</v>
      </c>
      <c r="H704">
        <v>490</v>
      </c>
      <c r="I704">
        <v>24</v>
      </c>
      <c r="J704" s="5">
        <v>2664</v>
      </c>
      <c r="K704" s="4">
        <v>1232</v>
      </c>
      <c r="L704" s="6">
        <v>45739</v>
      </c>
      <c r="M704" s="7">
        <f t="shared" si="30"/>
        <v>0.12544802867383512</v>
      </c>
      <c r="N704" s="7">
        <f t="shared" si="31"/>
        <v>4.8979591836734691E-2</v>
      </c>
      <c r="O704" s="7">
        <f t="shared" si="32"/>
        <v>1.1623376623376624</v>
      </c>
    </row>
    <row r="705" spans="1:15" x14ac:dyDescent="0.35">
      <c r="A705">
        <v>704</v>
      </c>
      <c r="B705">
        <v>21</v>
      </c>
      <c r="C705" t="s">
        <v>19</v>
      </c>
      <c r="D705" t="s">
        <v>16</v>
      </c>
      <c r="E705" t="s">
        <v>33</v>
      </c>
      <c r="F705" t="s">
        <v>18</v>
      </c>
      <c r="G705">
        <v>4088</v>
      </c>
      <c r="H705">
        <v>453</v>
      </c>
      <c r="I705">
        <v>79</v>
      </c>
      <c r="J705" s="5">
        <v>7979</v>
      </c>
      <c r="K705" s="4">
        <v>1900</v>
      </c>
      <c r="L705" s="6">
        <v>45734</v>
      </c>
      <c r="M705" s="7">
        <f t="shared" si="30"/>
        <v>0.11081213307240705</v>
      </c>
      <c r="N705" s="7">
        <f t="shared" si="31"/>
        <v>0.17439293598233996</v>
      </c>
      <c r="O705" s="7">
        <f t="shared" si="32"/>
        <v>3.1994736842105262</v>
      </c>
    </row>
    <row r="706" spans="1:15" x14ac:dyDescent="0.35">
      <c r="A706">
        <v>705</v>
      </c>
      <c r="B706">
        <v>48</v>
      </c>
      <c r="C706" t="s">
        <v>12</v>
      </c>
      <c r="D706" t="s">
        <v>26</v>
      </c>
      <c r="E706" t="s">
        <v>24</v>
      </c>
      <c r="F706" t="s">
        <v>29</v>
      </c>
      <c r="G706">
        <v>2682</v>
      </c>
      <c r="H706">
        <v>117</v>
      </c>
      <c r="I706">
        <v>23</v>
      </c>
      <c r="J706" s="5">
        <v>3979</v>
      </c>
      <c r="K706" s="4">
        <v>689</v>
      </c>
      <c r="L706" s="6">
        <v>45714</v>
      </c>
      <c r="M706" s="7">
        <f t="shared" si="30"/>
        <v>4.3624161073825503E-2</v>
      </c>
      <c r="N706" s="7">
        <f t="shared" si="31"/>
        <v>0.19658119658119658</v>
      </c>
      <c r="O706" s="7">
        <f t="shared" si="32"/>
        <v>4.7750362844702465</v>
      </c>
    </row>
    <row r="707" spans="1:15" x14ac:dyDescent="0.35">
      <c r="A707">
        <v>706</v>
      </c>
      <c r="B707">
        <v>49</v>
      </c>
      <c r="C707" t="s">
        <v>12</v>
      </c>
      <c r="D707" t="s">
        <v>20</v>
      </c>
      <c r="E707" t="s">
        <v>33</v>
      </c>
      <c r="F707" t="s">
        <v>22</v>
      </c>
      <c r="G707">
        <v>2376</v>
      </c>
      <c r="H707">
        <v>238</v>
      </c>
      <c r="I707">
        <v>35</v>
      </c>
      <c r="J707" s="5">
        <v>6090</v>
      </c>
      <c r="K707" s="4">
        <v>1562</v>
      </c>
      <c r="L707" s="6">
        <v>45716</v>
      </c>
      <c r="M707" s="7">
        <f t="shared" ref="M707:M770" si="33">H707/G707</f>
        <v>0.10016835016835017</v>
      </c>
      <c r="N707" s="7">
        <f t="shared" ref="N707:N770" si="34">I707/H707</f>
        <v>0.14705882352941177</v>
      </c>
      <c r="O707" s="7">
        <f t="shared" ref="O707:O770" si="35">(J707-K707)/K707</f>
        <v>2.8988476312419973</v>
      </c>
    </row>
    <row r="708" spans="1:15" x14ac:dyDescent="0.35">
      <c r="A708">
        <v>707</v>
      </c>
      <c r="B708">
        <v>41</v>
      </c>
      <c r="C708" t="s">
        <v>12</v>
      </c>
      <c r="D708" t="s">
        <v>13</v>
      </c>
      <c r="E708" t="s">
        <v>34</v>
      </c>
      <c r="F708" t="s">
        <v>22</v>
      </c>
      <c r="G708">
        <v>2407</v>
      </c>
      <c r="H708">
        <v>187</v>
      </c>
      <c r="I708">
        <v>6</v>
      </c>
      <c r="J708" s="5">
        <v>834</v>
      </c>
      <c r="K708" s="4">
        <v>393</v>
      </c>
      <c r="L708" s="6">
        <v>45753</v>
      </c>
      <c r="M708" s="7">
        <f t="shared" si="33"/>
        <v>7.7690070627336932E-2</v>
      </c>
      <c r="N708" s="7">
        <f t="shared" si="34"/>
        <v>3.2085561497326207E-2</v>
      </c>
      <c r="O708" s="7">
        <f t="shared" si="35"/>
        <v>1.1221374045801527</v>
      </c>
    </row>
    <row r="709" spans="1:15" x14ac:dyDescent="0.35">
      <c r="A709">
        <v>708</v>
      </c>
      <c r="B709">
        <v>48</v>
      </c>
      <c r="C709" t="s">
        <v>12</v>
      </c>
      <c r="D709" t="s">
        <v>13</v>
      </c>
      <c r="E709" t="s">
        <v>17</v>
      </c>
      <c r="F709" t="s">
        <v>29</v>
      </c>
      <c r="G709">
        <v>643</v>
      </c>
      <c r="H709">
        <v>65</v>
      </c>
      <c r="I709">
        <v>50</v>
      </c>
      <c r="J709" s="5">
        <v>9800</v>
      </c>
      <c r="K709" s="4">
        <v>622</v>
      </c>
      <c r="L709" s="6">
        <v>45658</v>
      </c>
      <c r="M709" s="7">
        <f t="shared" si="33"/>
        <v>0.10108864696734059</v>
      </c>
      <c r="N709" s="7">
        <f t="shared" si="34"/>
        <v>0.76923076923076927</v>
      </c>
      <c r="O709" s="7">
        <f t="shared" si="35"/>
        <v>14.755627009646302</v>
      </c>
    </row>
    <row r="710" spans="1:15" x14ac:dyDescent="0.35">
      <c r="A710">
        <v>709</v>
      </c>
      <c r="B710">
        <v>29</v>
      </c>
      <c r="C710" t="s">
        <v>12</v>
      </c>
      <c r="D710" t="s">
        <v>23</v>
      </c>
      <c r="E710" t="s">
        <v>34</v>
      </c>
      <c r="F710" t="s">
        <v>22</v>
      </c>
      <c r="G710">
        <v>1386</v>
      </c>
      <c r="H710">
        <v>390</v>
      </c>
      <c r="I710">
        <v>8</v>
      </c>
      <c r="J710" s="5">
        <v>840</v>
      </c>
      <c r="K710" s="4">
        <v>1550</v>
      </c>
      <c r="L710" s="6">
        <v>45754</v>
      </c>
      <c r="M710" s="7">
        <f t="shared" si="33"/>
        <v>0.2813852813852814</v>
      </c>
      <c r="N710" s="7">
        <f t="shared" si="34"/>
        <v>2.0512820512820513E-2</v>
      </c>
      <c r="O710" s="7">
        <f t="shared" si="35"/>
        <v>-0.45806451612903226</v>
      </c>
    </row>
    <row r="711" spans="1:15" x14ac:dyDescent="0.35">
      <c r="A711">
        <v>710</v>
      </c>
      <c r="B711">
        <v>24</v>
      </c>
      <c r="C711" t="s">
        <v>19</v>
      </c>
      <c r="D711" t="s">
        <v>26</v>
      </c>
      <c r="E711" t="s">
        <v>33</v>
      </c>
      <c r="F711" t="s">
        <v>22</v>
      </c>
      <c r="G711">
        <v>4542</v>
      </c>
      <c r="H711">
        <v>397</v>
      </c>
      <c r="I711">
        <v>69</v>
      </c>
      <c r="J711" s="5">
        <v>11799</v>
      </c>
      <c r="K711" s="4">
        <v>758</v>
      </c>
      <c r="L711" s="6">
        <v>45763</v>
      </c>
      <c r="M711" s="7">
        <f t="shared" si="33"/>
        <v>8.7406428885953319E-2</v>
      </c>
      <c r="N711" s="7">
        <f t="shared" si="34"/>
        <v>0.17380352644836272</v>
      </c>
      <c r="O711" s="7">
        <f t="shared" si="35"/>
        <v>14.565963060686016</v>
      </c>
    </row>
    <row r="712" spans="1:15" x14ac:dyDescent="0.35">
      <c r="A712">
        <v>711</v>
      </c>
      <c r="B712">
        <v>28</v>
      </c>
      <c r="C712" t="s">
        <v>19</v>
      </c>
      <c r="D712" t="s">
        <v>26</v>
      </c>
      <c r="E712" t="s">
        <v>24</v>
      </c>
      <c r="F712" t="s">
        <v>22</v>
      </c>
      <c r="G712">
        <v>1631</v>
      </c>
      <c r="H712">
        <v>68</v>
      </c>
      <c r="I712">
        <v>30</v>
      </c>
      <c r="J712" s="5">
        <v>3870</v>
      </c>
      <c r="K712" s="4">
        <v>1519</v>
      </c>
      <c r="L712" s="6">
        <v>45669</v>
      </c>
      <c r="M712" s="7">
        <f t="shared" si="33"/>
        <v>4.1692213366033105E-2</v>
      </c>
      <c r="N712" s="7">
        <f t="shared" si="34"/>
        <v>0.44117647058823528</v>
      </c>
      <c r="O712" s="7">
        <f t="shared" si="35"/>
        <v>1.5477287689269257</v>
      </c>
    </row>
    <row r="713" spans="1:15" x14ac:dyDescent="0.35">
      <c r="A713">
        <v>712</v>
      </c>
      <c r="B713">
        <v>33</v>
      </c>
      <c r="C713" t="s">
        <v>19</v>
      </c>
      <c r="D713" t="s">
        <v>20</v>
      </c>
      <c r="E713" t="s">
        <v>33</v>
      </c>
      <c r="F713" t="s">
        <v>29</v>
      </c>
      <c r="G713">
        <v>694</v>
      </c>
      <c r="H713">
        <v>332</v>
      </c>
      <c r="I713">
        <v>58</v>
      </c>
      <c r="J713" s="5">
        <v>7424</v>
      </c>
      <c r="K713" s="4">
        <v>1161</v>
      </c>
      <c r="L713" s="6">
        <v>45717</v>
      </c>
      <c r="M713" s="7">
        <f t="shared" si="33"/>
        <v>0.47838616714697407</v>
      </c>
      <c r="N713" s="7">
        <f t="shared" si="34"/>
        <v>0.1746987951807229</v>
      </c>
      <c r="O713" s="7">
        <f t="shared" si="35"/>
        <v>5.3944875107665808</v>
      </c>
    </row>
    <row r="714" spans="1:15" x14ac:dyDescent="0.35">
      <c r="A714">
        <v>713</v>
      </c>
      <c r="B714">
        <v>50</v>
      </c>
      <c r="C714" t="s">
        <v>19</v>
      </c>
      <c r="D714" t="s">
        <v>20</v>
      </c>
      <c r="E714" t="s">
        <v>17</v>
      </c>
      <c r="F714" t="s">
        <v>18</v>
      </c>
      <c r="G714">
        <v>2577</v>
      </c>
      <c r="H714">
        <v>133</v>
      </c>
      <c r="I714">
        <v>42</v>
      </c>
      <c r="J714" s="5">
        <v>3738</v>
      </c>
      <c r="K714" s="4">
        <v>1319</v>
      </c>
      <c r="L714" s="6">
        <v>45762</v>
      </c>
      <c r="M714" s="7">
        <f t="shared" si="33"/>
        <v>5.1610399689561506E-2</v>
      </c>
      <c r="N714" s="7">
        <f t="shared" si="34"/>
        <v>0.31578947368421051</v>
      </c>
      <c r="O714" s="7">
        <f t="shared" si="35"/>
        <v>1.8339651250947688</v>
      </c>
    </row>
    <row r="715" spans="1:15" x14ac:dyDescent="0.35">
      <c r="A715">
        <v>714</v>
      </c>
      <c r="B715">
        <v>33</v>
      </c>
      <c r="C715" t="s">
        <v>12</v>
      </c>
      <c r="D715" t="s">
        <v>16</v>
      </c>
      <c r="E715" t="s">
        <v>28</v>
      </c>
      <c r="F715" t="s">
        <v>15</v>
      </c>
      <c r="G715">
        <v>1897</v>
      </c>
      <c r="H715">
        <v>91</v>
      </c>
      <c r="I715">
        <v>51</v>
      </c>
      <c r="J715" s="5">
        <v>10047</v>
      </c>
      <c r="K715" s="4">
        <v>620</v>
      </c>
      <c r="L715" s="6">
        <v>45714</v>
      </c>
      <c r="M715" s="7">
        <f t="shared" si="33"/>
        <v>4.797047970479705E-2</v>
      </c>
      <c r="N715" s="7">
        <f t="shared" si="34"/>
        <v>0.56043956043956045</v>
      </c>
      <c r="O715" s="7">
        <f t="shared" si="35"/>
        <v>15.20483870967742</v>
      </c>
    </row>
    <row r="716" spans="1:15" x14ac:dyDescent="0.35">
      <c r="A716">
        <v>715</v>
      </c>
      <c r="B716">
        <v>49</v>
      </c>
      <c r="C716" t="s">
        <v>12</v>
      </c>
      <c r="D716" t="s">
        <v>16</v>
      </c>
      <c r="E716" t="s">
        <v>21</v>
      </c>
      <c r="F716" t="s">
        <v>22</v>
      </c>
      <c r="G716">
        <v>2910</v>
      </c>
      <c r="H716">
        <v>332</v>
      </c>
      <c r="I716">
        <v>45</v>
      </c>
      <c r="J716" s="5">
        <v>5085</v>
      </c>
      <c r="K716" s="4">
        <v>535</v>
      </c>
      <c r="L716" s="6">
        <v>45746</v>
      </c>
      <c r="M716" s="7">
        <f t="shared" si="33"/>
        <v>0.1140893470790378</v>
      </c>
      <c r="N716" s="7">
        <f t="shared" si="34"/>
        <v>0.13554216867469879</v>
      </c>
      <c r="O716" s="7">
        <f t="shared" si="35"/>
        <v>8.5046728971962615</v>
      </c>
    </row>
    <row r="717" spans="1:15" x14ac:dyDescent="0.35">
      <c r="A717">
        <v>716</v>
      </c>
      <c r="B717">
        <v>37</v>
      </c>
      <c r="C717" t="s">
        <v>19</v>
      </c>
      <c r="D717" t="s">
        <v>13</v>
      </c>
      <c r="E717" t="s">
        <v>14</v>
      </c>
      <c r="F717" t="s">
        <v>29</v>
      </c>
      <c r="G717">
        <v>2381</v>
      </c>
      <c r="H717">
        <v>250</v>
      </c>
      <c r="I717">
        <v>14</v>
      </c>
      <c r="J717" s="5">
        <v>2478</v>
      </c>
      <c r="K717" s="4">
        <v>704</v>
      </c>
      <c r="L717" s="6">
        <v>45717</v>
      </c>
      <c r="M717" s="7">
        <f t="shared" si="33"/>
        <v>0.10499790004199916</v>
      </c>
      <c r="N717" s="7">
        <f t="shared" si="34"/>
        <v>5.6000000000000001E-2</v>
      </c>
      <c r="O717" s="7">
        <f t="shared" si="35"/>
        <v>2.5198863636363638</v>
      </c>
    </row>
    <row r="718" spans="1:15" x14ac:dyDescent="0.35">
      <c r="A718">
        <v>717</v>
      </c>
      <c r="B718">
        <v>44</v>
      </c>
      <c r="C718" t="s">
        <v>12</v>
      </c>
      <c r="D718" t="s">
        <v>26</v>
      </c>
      <c r="E718" t="s">
        <v>33</v>
      </c>
      <c r="F718" t="s">
        <v>29</v>
      </c>
      <c r="G718">
        <v>4916</v>
      </c>
      <c r="H718">
        <v>484</v>
      </c>
      <c r="I718">
        <v>40</v>
      </c>
      <c r="J718" s="5">
        <v>7880</v>
      </c>
      <c r="K718" s="4">
        <v>1631</v>
      </c>
      <c r="L718" s="6">
        <v>45688</v>
      </c>
      <c r="M718" s="7">
        <f t="shared" si="33"/>
        <v>9.8454027664768101E-2</v>
      </c>
      <c r="N718" s="7">
        <f t="shared" si="34"/>
        <v>8.2644628099173556E-2</v>
      </c>
      <c r="O718" s="7">
        <f t="shared" si="35"/>
        <v>3.8313917841814837</v>
      </c>
    </row>
    <row r="719" spans="1:15" x14ac:dyDescent="0.35">
      <c r="A719">
        <v>718</v>
      </c>
      <c r="B719">
        <v>41</v>
      </c>
      <c r="C719" t="s">
        <v>19</v>
      </c>
      <c r="D719" t="s">
        <v>20</v>
      </c>
      <c r="E719" t="s">
        <v>25</v>
      </c>
      <c r="F719" t="s">
        <v>31</v>
      </c>
      <c r="G719">
        <v>1026</v>
      </c>
      <c r="H719">
        <v>61</v>
      </c>
      <c r="I719">
        <v>32</v>
      </c>
      <c r="J719" s="5">
        <v>5824</v>
      </c>
      <c r="K719" s="4">
        <v>1563</v>
      </c>
      <c r="L719" s="6">
        <v>45667</v>
      </c>
      <c r="M719" s="7">
        <f t="shared" si="33"/>
        <v>5.9454191033138398E-2</v>
      </c>
      <c r="N719" s="7">
        <f t="shared" si="34"/>
        <v>0.52459016393442626</v>
      </c>
      <c r="O719" s="7">
        <f t="shared" si="35"/>
        <v>2.7261676263595649</v>
      </c>
    </row>
    <row r="720" spans="1:15" x14ac:dyDescent="0.35">
      <c r="A720">
        <v>719</v>
      </c>
      <c r="B720">
        <v>51</v>
      </c>
      <c r="C720" t="s">
        <v>12</v>
      </c>
      <c r="D720" t="s">
        <v>27</v>
      </c>
      <c r="E720" t="s">
        <v>21</v>
      </c>
      <c r="F720" t="s">
        <v>31</v>
      </c>
      <c r="G720">
        <v>3169</v>
      </c>
      <c r="H720">
        <v>383</v>
      </c>
      <c r="I720">
        <v>22</v>
      </c>
      <c r="J720" s="5">
        <v>2046</v>
      </c>
      <c r="K720" s="4">
        <v>1951</v>
      </c>
      <c r="L720" s="6">
        <v>45733</v>
      </c>
      <c r="M720" s="7">
        <f t="shared" si="33"/>
        <v>0.12085831492584412</v>
      </c>
      <c r="N720" s="7">
        <f t="shared" si="34"/>
        <v>5.7441253263707574E-2</v>
      </c>
      <c r="O720" s="7">
        <f t="shared" si="35"/>
        <v>4.8692977960020499E-2</v>
      </c>
    </row>
    <row r="721" spans="1:15" x14ac:dyDescent="0.35">
      <c r="A721">
        <v>720</v>
      </c>
      <c r="B721">
        <v>33</v>
      </c>
      <c r="C721" t="s">
        <v>12</v>
      </c>
      <c r="D721" t="s">
        <v>13</v>
      </c>
      <c r="E721" t="s">
        <v>32</v>
      </c>
      <c r="F721" t="s">
        <v>18</v>
      </c>
      <c r="G721">
        <v>4631</v>
      </c>
      <c r="H721">
        <v>222</v>
      </c>
      <c r="I721">
        <v>40</v>
      </c>
      <c r="J721" s="5">
        <v>6280</v>
      </c>
      <c r="K721" s="4">
        <v>1245</v>
      </c>
      <c r="L721" s="6">
        <v>45713</v>
      </c>
      <c r="M721" s="7">
        <f t="shared" si="33"/>
        <v>4.7937810408119196E-2</v>
      </c>
      <c r="N721" s="7">
        <f t="shared" si="34"/>
        <v>0.18018018018018017</v>
      </c>
      <c r="O721" s="7">
        <f t="shared" si="35"/>
        <v>4.0441767068273089</v>
      </c>
    </row>
    <row r="722" spans="1:15" x14ac:dyDescent="0.35">
      <c r="A722">
        <v>721</v>
      </c>
      <c r="B722">
        <v>37</v>
      </c>
      <c r="C722" t="s">
        <v>19</v>
      </c>
      <c r="D722" t="s">
        <v>20</v>
      </c>
      <c r="E722" t="s">
        <v>33</v>
      </c>
      <c r="F722" t="s">
        <v>31</v>
      </c>
      <c r="G722">
        <v>3276</v>
      </c>
      <c r="H722">
        <v>145</v>
      </c>
      <c r="I722">
        <v>37</v>
      </c>
      <c r="J722" s="5">
        <v>4255</v>
      </c>
      <c r="K722" s="4">
        <v>1140</v>
      </c>
      <c r="L722" s="6">
        <v>45695</v>
      </c>
      <c r="M722" s="7">
        <f t="shared" si="33"/>
        <v>4.4261294261294264E-2</v>
      </c>
      <c r="N722" s="7">
        <f t="shared" si="34"/>
        <v>0.25517241379310346</v>
      </c>
      <c r="O722" s="7">
        <f t="shared" si="35"/>
        <v>2.7324561403508771</v>
      </c>
    </row>
    <row r="723" spans="1:15" x14ac:dyDescent="0.35">
      <c r="A723">
        <v>722</v>
      </c>
      <c r="B723">
        <v>21</v>
      </c>
      <c r="C723" t="s">
        <v>12</v>
      </c>
      <c r="D723" t="s">
        <v>20</v>
      </c>
      <c r="E723" t="s">
        <v>25</v>
      </c>
      <c r="F723" t="s">
        <v>31</v>
      </c>
      <c r="G723">
        <v>694</v>
      </c>
      <c r="H723">
        <v>200</v>
      </c>
      <c r="I723">
        <v>20</v>
      </c>
      <c r="J723" s="5">
        <v>2960</v>
      </c>
      <c r="K723" s="4">
        <v>898</v>
      </c>
      <c r="L723" s="6">
        <v>45761</v>
      </c>
      <c r="M723" s="7">
        <f t="shared" si="33"/>
        <v>0.28818443804034583</v>
      </c>
      <c r="N723" s="7">
        <f t="shared" si="34"/>
        <v>0.1</v>
      </c>
      <c r="O723" s="7">
        <f t="shared" si="35"/>
        <v>2.2962138084632517</v>
      </c>
    </row>
    <row r="724" spans="1:15" x14ac:dyDescent="0.35">
      <c r="A724">
        <v>723</v>
      </c>
      <c r="B724">
        <v>34</v>
      </c>
      <c r="C724" t="s">
        <v>19</v>
      </c>
      <c r="D724" t="s">
        <v>23</v>
      </c>
      <c r="E724" t="s">
        <v>14</v>
      </c>
      <c r="F724" t="s">
        <v>22</v>
      </c>
      <c r="G724">
        <v>4314</v>
      </c>
      <c r="H724">
        <v>255</v>
      </c>
      <c r="I724">
        <v>74</v>
      </c>
      <c r="J724" s="5">
        <v>7030</v>
      </c>
      <c r="K724" s="4">
        <v>595</v>
      </c>
      <c r="L724" s="6">
        <v>45671</v>
      </c>
      <c r="M724" s="7">
        <f t="shared" si="33"/>
        <v>5.9109874826147428E-2</v>
      </c>
      <c r="N724" s="7">
        <f t="shared" si="34"/>
        <v>0.29019607843137257</v>
      </c>
      <c r="O724" s="7">
        <f t="shared" si="35"/>
        <v>10.815126050420169</v>
      </c>
    </row>
    <row r="725" spans="1:15" x14ac:dyDescent="0.35">
      <c r="A725">
        <v>724</v>
      </c>
      <c r="B725">
        <v>34</v>
      </c>
      <c r="C725" t="s">
        <v>12</v>
      </c>
      <c r="D725" t="s">
        <v>20</v>
      </c>
      <c r="E725" t="s">
        <v>30</v>
      </c>
      <c r="F725" t="s">
        <v>29</v>
      </c>
      <c r="G725">
        <v>2864</v>
      </c>
      <c r="H725">
        <v>248</v>
      </c>
      <c r="I725">
        <v>50</v>
      </c>
      <c r="J725" s="5">
        <v>6150</v>
      </c>
      <c r="K725" s="4">
        <v>1750</v>
      </c>
      <c r="L725" s="6">
        <v>45711</v>
      </c>
      <c r="M725" s="7">
        <f t="shared" si="33"/>
        <v>8.6592178770949726E-2</v>
      </c>
      <c r="N725" s="7">
        <f t="shared" si="34"/>
        <v>0.20161290322580644</v>
      </c>
      <c r="O725" s="7">
        <f t="shared" si="35"/>
        <v>2.5142857142857142</v>
      </c>
    </row>
    <row r="726" spans="1:15" x14ac:dyDescent="0.35">
      <c r="A726">
        <v>725</v>
      </c>
      <c r="B726">
        <v>31</v>
      </c>
      <c r="C726" t="s">
        <v>19</v>
      </c>
      <c r="D726" t="s">
        <v>20</v>
      </c>
      <c r="E726" t="s">
        <v>34</v>
      </c>
      <c r="F726" t="s">
        <v>18</v>
      </c>
      <c r="G726">
        <v>1109</v>
      </c>
      <c r="H726">
        <v>310</v>
      </c>
      <c r="I726">
        <v>31</v>
      </c>
      <c r="J726" s="5">
        <v>5146</v>
      </c>
      <c r="K726" s="4">
        <v>571</v>
      </c>
      <c r="L726" s="6">
        <v>45774</v>
      </c>
      <c r="M726" s="7">
        <f t="shared" si="33"/>
        <v>0.27953110910730389</v>
      </c>
      <c r="N726" s="7">
        <f t="shared" si="34"/>
        <v>0.1</v>
      </c>
      <c r="O726" s="7">
        <f t="shared" si="35"/>
        <v>8.0122591943957975</v>
      </c>
    </row>
    <row r="727" spans="1:15" x14ac:dyDescent="0.35">
      <c r="A727">
        <v>726</v>
      </c>
      <c r="B727">
        <v>49</v>
      </c>
      <c r="C727" t="s">
        <v>12</v>
      </c>
      <c r="D727" t="s">
        <v>13</v>
      </c>
      <c r="E727" t="s">
        <v>17</v>
      </c>
      <c r="F727" t="s">
        <v>18</v>
      </c>
      <c r="G727">
        <v>1284</v>
      </c>
      <c r="H727">
        <v>132</v>
      </c>
      <c r="I727">
        <v>58</v>
      </c>
      <c r="J727" s="5">
        <v>9628</v>
      </c>
      <c r="K727" s="4">
        <v>389</v>
      </c>
      <c r="L727" s="6">
        <v>45670</v>
      </c>
      <c r="M727" s="7">
        <f t="shared" si="33"/>
        <v>0.10280373831775701</v>
      </c>
      <c r="N727" s="7">
        <f t="shared" si="34"/>
        <v>0.43939393939393939</v>
      </c>
      <c r="O727" s="7">
        <f t="shared" si="35"/>
        <v>23.750642673521853</v>
      </c>
    </row>
    <row r="728" spans="1:15" x14ac:dyDescent="0.35">
      <c r="A728">
        <v>727</v>
      </c>
      <c r="B728">
        <v>48</v>
      </c>
      <c r="C728" t="s">
        <v>12</v>
      </c>
      <c r="D728" t="s">
        <v>13</v>
      </c>
      <c r="E728" t="s">
        <v>28</v>
      </c>
      <c r="F728" t="s">
        <v>18</v>
      </c>
      <c r="G728">
        <v>2838</v>
      </c>
      <c r="H728">
        <v>182</v>
      </c>
      <c r="I728">
        <v>77</v>
      </c>
      <c r="J728" s="5">
        <v>8008</v>
      </c>
      <c r="K728" s="4">
        <v>525</v>
      </c>
      <c r="L728" s="6">
        <v>45723</v>
      </c>
      <c r="M728" s="7">
        <f t="shared" si="33"/>
        <v>6.4129668780831567E-2</v>
      </c>
      <c r="N728" s="7">
        <f t="shared" si="34"/>
        <v>0.42307692307692307</v>
      </c>
      <c r="O728" s="7">
        <f t="shared" si="35"/>
        <v>14.253333333333334</v>
      </c>
    </row>
    <row r="729" spans="1:15" x14ac:dyDescent="0.35">
      <c r="A729">
        <v>728</v>
      </c>
      <c r="B729">
        <v>37</v>
      </c>
      <c r="C729" t="s">
        <v>19</v>
      </c>
      <c r="D729" t="s">
        <v>26</v>
      </c>
      <c r="E729" t="s">
        <v>14</v>
      </c>
      <c r="F729" t="s">
        <v>15</v>
      </c>
      <c r="G729">
        <v>3278</v>
      </c>
      <c r="H729">
        <v>138</v>
      </c>
      <c r="I729">
        <v>76</v>
      </c>
      <c r="J729" s="5">
        <v>6080</v>
      </c>
      <c r="K729" s="4">
        <v>1470</v>
      </c>
      <c r="L729" s="6">
        <v>45753</v>
      </c>
      <c r="M729" s="7">
        <f t="shared" si="33"/>
        <v>4.2098840756558877E-2</v>
      </c>
      <c r="N729" s="7">
        <f t="shared" si="34"/>
        <v>0.55072463768115942</v>
      </c>
      <c r="O729" s="7">
        <f t="shared" si="35"/>
        <v>3.1360544217687076</v>
      </c>
    </row>
    <row r="730" spans="1:15" x14ac:dyDescent="0.35">
      <c r="A730">
        <v>729</v>
      </c>
      <c r="B730">
        <v>33</v>
      </c>
      <c r="C730" t="s">
        <v>12</v>
      </c>
      <c r="D730" t="s">
        <v>20</v>
      </c>
      <c r="E730" t="s">
        <v>24</v>
      </c>
      <c r="F730" t="s">
        <v>22</v>
      </c>
      <c r="G730">
        <v>4578</v>
      </c>
      <c r="H730">
        <v>103</v>
      </c>
      <c r="I730">
        <v>79</v>
      </c>
      <c r="J730" s="5">
        <v>13351</v>
      </c>
      <c r="K730" s="4">
        <v>253</v>
      </c>
      <c r="L730" s="6">
        <v>45677</v>
      </c>
      <c r="M730" s="7">
        <f t="shared" si="33"/>
        <v>2.2498907820008737E-2</v>
      </c>
      <c r="N730" s="7">
        <f t="shared" si="34"/>
        <v>0.76699029126213591</v>
      </c>
      <c r="O730" s="7">
        <f t="shared" si="35"/>
        <v>51.770750988142289</v>
      </c>
    </row>
    <row r="731" spans="1:15" x14ac:dyDescent="0.35">
      <c r="A731">
        <v>730</v>
      </c>
      <c r="B731">
        <v>18</v>
      </c>
      <c r="C731" t="s">
        <v>19</v>
      </c>
      <c r="D731" t="s">
        <v>23</v>
      </c>
      <c r="E731" t="s">
        <v>34</v>
      </c>
      <c r="F731" t="s">
        <v>31</v>
      </c>
      <c r="G731">
        <v>2081</v>
      </c>
      <c r="H731">
        <v>242</v>
      </c>
      <c r="I731">
        <v>62</v>
      </c>
      <c r="J731" s="5">
        <v>11780</v>
      </c>
      <c r="K731" s="4">
        <v>1660</v>
      </c>
      <c r="L731" s="6">
        <v>45723</v>
      </c>
      <c r="M731" s="7">
        <f t="shared" si="33"/>
        <v>0.11629024507448342</v>
      </c>
      <c r="N731" s="7">
        <f t="shared" si="34"/>
        <v>0.256198347107438</v>
      </c>
      <c r="O731" s="7">
        <f t="shared" si="35"/>
        <v>6.096385542168675</v>
      </c>
    </row>
    <row r="732" spans="1:15" x14ac:dyDescent="0.35">
      <c r="A732">
        <v>731</v>
      </c>
      <c r="B732">
        <v>50</v>
      </c>
      <c r="C732" t="s">
        <v>19</v>
      </c>
      <c r="D732" t="s">
        <v>20</v>
      </c>
      <c r="E732" t="s">
        <v>24</v>
      </c>
      <c r="F732" t="s">
        <v>29</v>
      </c>
      <c r="G732">
        <v>4496</v>
      </c>
      <c r="H732">
        <v>389</v>
      </c>
      <c r="I732">
        <v>74</v>
      </c>
      <c r="J732" s="5">
        <v>7992</v>
      </c>
      <c r="K732" s="4">
        <v>207</v>
      </c>
      <c r="L732" s="6">
        <v>45717</v>
      </c>
      <c r="M732" s="7">
        <f t="shared" si="33"/>
        <v>8.6521352313167266E-2</v>
      </c>
      <c r="N732" s="7">
        <f t="shared" si="34"/>
        <v>0.19023136246786632</v>
      </c>
      <c r="O732" s="7">
        <f t="shared" si="35"/>
        <v>37.608695652173914</v>
      </c>
    </row>
    <row r="733" spans="1:15" x14ac:dyDescent="0.35">
      <c r="A733">
        <v>732</v>
      </c>
      <c r="B733">
        <v>21</v>
      </c>
      <c r="C733" t="s">
        <v>19</v>
      </c>
      <c r="D733" t="s">
        <v>20</v>
      </c>
      <c r="E733" t="s">
        <v>24</v>
      </c>
      <c r="F733" t="s">
        <v>31</v>
      </c>
      <c r="G733">
        <v>3256</v>
      </c>
      <c r="H733">
        <v>413</v>
      </c>
      <c r="I733">
        <v>24</v>
      </c>
      <c r="J733" s="5">
        <v>2832</v>
      </c>
      <c r="K733" s="4">
        <v>1296</v>
      </c>
      <c r="L733" s="6">
        <v>45775</v>
      </c>
      <c r="M733" s="7">
        <f t="shared" si="33"/>
        <v>0.12684275184275184</v>
      </c>
      <c r="N733" s="7">
        <f t="shared" si="34"/>
        <v>5.8111380145278453E-2</v>
      </c>
      <c r="O733" s="7">
        <f t="shared" si="35"/>
        <v>1.1851851851851851</v>
      </c>
    </row>
    <row r="734" spans="1:15" x14ac:dyDescent="0.35">
      <c r="A734">
        <v>733</v>
      </c>
      <c r="B734">
        <v>39</v>
      </c>
      <c r="C734" t="s">
        <v>19</v>
      </c>
      <c r="D734" t="s">
        <v>26</v>
      </c>
      <c r="E734" t="s">
        <v>32</v>
      </c>
      <c r="F734" t="s">
        <v>29</v>
      </c>
      <c r="G734">
        <v>670</v>
      </c>
      <c r="H734">
        <v>190</v>
      </c>
      <c r="I734">
        <v>17</v>
      </c>
      <c r="J734" s="5">
        <v>2312</v>
      </c>
      <c r="K734" s="4">
        <v>387</v>
      </c>
      <c r="L734" s="6">
        <v>45768</v>
      </c>
      <c r="M734" s="7">
        <f t="shared" si="33"/>
        <v>0.28358208955223879</v>
      </c>
      <c r="N734" s="7">
        <f t="shared" si="34"/>
        <v>8.9473684210526316E-2</v>
      </c>
      <c r="O734" s="7">
        <f t="shared" si="35"/>
        <v>4.9741602067183459</v>
      </c>
    </row>
    <row r="735" spans="1:15" x14ac:dyDescent="0.35">
      <c r="A735">
        <v>734</v>
      </c>
      <c r="B735">
        <v>25</v>
      </c>
      <c r="C735" t="s">
        <v>19</v>
      </c>
      <c r="D735" t="s">
        <v>20</v>
      </c>
      <c r="E735" t="s">
        <v>21</v>
      </c>
      <c r="F735" t="s">
        <v>22</v>
      </c>
      <c r="G735">
        <v>2472</v>
      </c>
      <c r="H735">
        <v>414</v>
      </c>
      <c r="I735">
        <v>47</v>
      </c>
      <c r="J735" s="5">
        <v>7097</v>
      </c>
      <c r="K735" s="4">
        <v>410</v>
      </c>
      <c r="L735" s="6">
        <v>45747</v>
      </c>
      <c r="M735" s="7">
        <f t="shared" si="33"/>
        <v>0.16747572815533981</v>
      </c>
      <c r="N735" s="7">
        <f t="shared" si="34"/>
        <v>0.11352657004830918</v>
      </c>
      <c r="O735" s="7">
        <f t="shared" si="35"/>
        <v>16.309756097560975</v>
      </c>
    </row>
    <row r="736" spans="1:15" x14ac:dyDescent="0.35">
      <c r="A736">
        <v>735</v>
      </c>
      <c r="B736">
        <v>45</v>
      </c>
      <c r="C736" t="s">
        <v>12</v>
      </c>
      <c r="D736" t="s">
        <v>23</v>
      </c>
      <c r="E736" t="s">
        <v>30</v>
      </c>
      <c r="F736" t="s">
        <v>22</v>
      </c>
      <c r="G736">
        <v>4323</v>
      </c>
      <c r="H736">
        <v>164</v>
      </c>
      <c r="I736">
        <v>30</v>
      </c>
      <c r="J736" s="5">
        <v>4680</v>
      </c>
      <c r="K736" s="4">
        <v>498</v>
      </c>
      <c r="L736" s="6">
        <v>45677</v>
      </c>
      <c r="M736" s="7">
        <f t="shared" si="33"/>
        <v>3.7936618089289845E-2</v>
      </c>
      <c r="N736" s="7">
        <f t="shared" si="34"/>
        <v>0.18292682926829268</v>
      </c>
      <c r="O736" s="7">
        <f t="shared" si="35"/>
        <v>8.3975903614457827</v>
      </c>
    </row>
    <row r="737" spans="1:15" x14ac:dyDescent="0.35">
      <c r="A737">
        <v>736</v>
      </c>
      <c r="B737">
        <v>32</v>
      </c>
      <c r="C737" t="s">
        <v>12</v>
      </c>
      <c r="D737" t="s">
        <v>16</v>
      </c>
      <c r="E737" t="s">
        <v>14</v>
      </c>
      <c r="F737" t="s">
        <v>15</v>
      </c>
      <c r="G737">
        <v>4806</v>
      </c>
      <c r="H737">
        <v>289</v>
      </c>
      <c r="I737">
        <v>43</v>
      </c>
      <c r="J737" s="5">
        <v>3913</v>
      </c>
      <c r="K737" s="4">
        <v>634</v>
      </c>
      <c r="L737" s="6">
        <v>45735</v>
      </c>
      <c r="M737" s="7">
        <f t="shared" si="33"/>
        <v>6.0133166874739907E-2</v>
      </c>
      <c r="N737" s="7">
        <f t="shared" si="34"/>
        <v>0.14878892733564014</v>
      </c>
      <c r="O737" s="7">
        <f t="shared" si="35"/>
        <v>5.1719242902208205</v>
      </c>
    </row>
    <row r="738" spans="1:15" x14ac:dyDescent="0.35">
      <c r="A738">
        <v>737</v>
      </c>
      <c r="B738">
        <v>51</v>
      </c>
      <c r="C738" t="s">
        <v>12</v>
      </c>
      <c r="D738" t="s">
        <v>13</v>
      </c>
      <c r="E738" t="s">
        <v>24</v>
      </c>
      <c r="F738" t="s">
        <v>29</v>
      </c>
      <c r="G738">
        <v>2302</v>
      </c>
      <c r="H738">
        <v>203</v>
      </c>
      <c r="I738">
        <v>46</v>
      </c>
      <c r="J738" s="5">
        <v>4140</v>
      </c>
      <c r="K738" s="4">
        <v>610</v>
      </c>
      <c r="L738" s="6">
        <v>45721</v>
      </c>
      <c r="M738" s="7">
        <f t="shared" si="33"/>
        <v>8.8184187662901828E-2</v>
      </c>
      <c r="N738" s="7">
        <f t="shared" si="34"/>
        <v>0.22660098522167488</v>
      </c>
      <c r="O738" s="7">
        <f t="shared" si="35"/>
        <v>5.7868852459016393</v>
      </c>
    </row>
    <row r="739" spans="1:15" x14ac:dyDescent="0.35">
      <c r="A739">
        <v>738</v>
      </c>
      <c r="B739">
        <v>52</v>
      </c>
      <c r="C739" t="s">
        <v>12</v>
      </c>
      <c r="D739" t="s">
        <v>13</v>
      </c>
      <c r="E739" t="s">
        <v>17</v>
      </c>
      <c r="F739" t="s">
        <v>22</v>
      </c>
      <c r="G739">
        <v>3449</v>
      </c>
      <c r="H739">
        <v>479</v>
      </c>
      <c r="I739">
        <v>46</v>
      </c>
      <c r="J739" s="5">
        <v>6624</v>
      </c>
      <c r="K739" s="4">
        <v>1443</v>
      </c>
      <c r="L739" s="6">
        <v>45729</v>
      </c>
      <c r="M739" s="7">
        <f t="shared" si="33"/>
        <v>0.13888083502464482</v>
      </c>
      <c r="N739" s="7">
        <f t="shared" si="34"/>
        <v>9.6033402922755737E-2</v>
      </c>
      <c r="O739" s="7">
        <f t="shared" si="35"/>
        <v>3.5904365904365902</v>
      </c>
    </row>
    <row r="740" spans="1:15" x14ac:dyDescent="0.35">
      <c r="A740">
        <v>739</v>
      </c>
      <c r="B740">
        <v>28</v>
      </c>
      <c r="C740" t="s">
        <v>19</v>
      </c>
      <c r="D740" t="s">
        <v>13</v>
      </c>
      <c r="E740" t="s">
        <v>14</v>
      </c>
      <c r="F740" t="s">
        <v>22</v>
      </c>
      <c r="G740">
        <v>1966</v>
      </c>
      <c r="H740">
        <v>101</v>
      </c>
      <c r="I740">
        <v>51</v>
      </c>
      <c r="J740" s="5">
        <v>4386</v>
      </c>
      <c r="K740" s="4">
        <v>575</v>
      </c>
      <c r="L740" s="6">
        <v>45718</v>
      </c>
      <c r="M740" s="7">
        <f t="shared" si="33"/>
        <v>5.1373346897253307E-2</v>
      </c>
      <c r="N740" s="7">
        <f t="shared" si="34"/>
        <v>0.50495049504950495</v>
      </c>
      <c r="O740" s="7">
        <f t="shared" si="35"/>
        <v>6.6278260869565218</v>
      </c>
    </row>
    <row r="741" spans="1:15" x14ac:dyDescent="0.35">
      <c r="A741">
        <v>740</v>
      </c>
      <c r="B741">
        <v>29</v>
      </c>
      <c r="C741" t="s">
        <v>19</v>
      </c>
      <c r="D741" t="s">
        <v>26</v>
      </c>
      <c r="E741" t="s">
        <v>24</v>
      </c>
      <c r="F741" t="s">
        <v>29</v>
      </c>
      <c r="G741">
        <v>3895</v>
      </c>
      <c r="H741">
        <v>458</v>
      </c>
      <c r="I741">
        <v>16</v>
      </c>
      <c r="J741" s="5">
        <v>2896</v>
      </c>
      <c r="K741" s="4">
        <v>1889</v>
      </c>
      <c r="L741" s="6">
        <v>45774</v>
      </c>
      <c r="M741" s="7">
        <f t="shared" si="33"/>
        <v>0.11758664955070604</v>
      </c>
      <c r="N741" s="7">
        <f t="shared" si="34"/>
        <v>3.4934497816593885E-2</v>
      </c>
      <c r="O741" s="7">
        <f t="shared" si="35"/>
        <v>0.53308628904182109</v>
      </c>
    </row>
    <row r="742" spans="1:15" x14ac:dyDescent="0.35">
      <c r="A742">
        <v>741</v>
      </c>
      <c r="B742">
        <v>21</v>
      </c>
      <c r="C742" t="s">
        <v>12</v>
      </c>
      <c r="D742" t="s">
        <v>13</v>
      </c>
      <c r="E742" t="s">
        <v>34</v>
      </c>
      <c r="F742" t="s">
        <v>15</v>
      </c>
      <c r="G742">
        <v>4641</v>
      </c>
      <c r="H742">
        <v>358</v>
      </c>
      <c r="I742">
        <v>17</v>
      </c>
      <c r="J742" s="5">
        <v>3349</v>
      </c>
      <c r="K742" s="4">
        <v>800</v>
      </c>
      <c r="L742" s="6">
        <v>45664</v>
      </c>
      <c r="M742" s="7">
        <f t="shared" si="33"/>
        <v>7.7138547726783024E-2</v>
      </c>
      <c r="N742" s="7">
        <f t="shared" si="34"/>
        <v>4.7486033519553071E-2</v>
      </c>
      <c r="O742" s="7">
        <f t="shared" si="35"/>
        <v>3.1862499999999998</v>
      </c>
    </row>
    <row r="743" spans="1:15" x14ac:dyDescent="0.35">
      <c r="A743">
        <v>742</v>
      </c>
      <c r="B743">
        <v>40</v>
      </c>
      <c r="C743" t="s">
        <v>12</v>
      </c>
      <c r="D743" t="s">
        <v>13</v>
      </c>
      <c r="E743" t="s">
        <v>14</v>
      </c>
      <c r="F743" t="s">
        <v>31</v>
      </c>
      <c r="G743">
        <v>865</v>
      </c>
      <c r="H743">
        <v>171</v>
      </c>
      <c r="I743">
        <v>15</v>
      </c>
      <c r="J743" s="5">
        <v>1995</v>
      </c>
      <c r="K743" s="4">
        <v>1571</v>
      </c>
      <c r="L743" s="6">
        <v>45771</v>
      </c>
      <c r="M743" s="7">
        <f t="shared" si="33"/>
        <v>0.19768786127167631</v>
      </c>
      <c r="N743" s="7">
        <f t="shared" si="34"/>
        <v>8.771929824561403E-2</v>
      </c>
      <c r="O743" s="7">
        <f t="shared" si="35"/>
        <v>0.2698917886696372</v>
      </c>
    </row>
    <row r="744" spans="1:15" x14ac:dyDescent="0.35">
      <c r="A744">
        <v>743</v>
      </c>
      <c r="B744">
        <v>46</v>
      </c>
      <c r="C744" t="s">
        <v>19</v>
      </c>
      <c r="D744" t="s">
        <v>20</v>
      </c>
      <c r="E744" t="s">
        <v>24</v>
      </c>
      <c r="F744" t="s">
        <v>31</v>
      </c>
      <c r="G744">
        <v>1246</v>
      </c>
      <c r="H744">
        <v>416</v>
      </c>
      <c r="I744">
        <v>61</v>
      </c>
      <c r="J744" s="5">
        <v>6344</v>
      </c>
      <c r="K744" s="4">
        <v>737</v>
      </c>
      <c r="L744" s="6">
        <v>45754</v>
      </c>
      <c r="M744" s="7">
        <f t="shared" si="33"/>
        <v>0.33386837881219905</v>
      </c>
      <c r="N744" s="7">
        <f t="shared" si="34"/>
        <v>0.14663461538461539</v>
      </c>
      <c r="O744" s="7">
        <f t="shared" si="35"/>
        <v>7.6078697421981003</v>
      </c>
    </row>
    <row r="745" spans="1:15" x14ac:dyDescent="0.35">
      <c r="A745">
        <v>744</v>
      </c>
      <c r="B745">
        <v>34</v>
      </c>
      <c r="C745" t="s">
        <v>19</v>
      </c>
      <c r="D745" t="s">
        <v>27</v>
      </c>
      <c r="E745" t="s">
        <v>24</v>
      </c>
      <c r="F745" t="s">
        <v>22</v>
      </c>
      <c r="G745">
        <v>3329</v>
      </c>
      <c r="H745">
        <v>383</v>
      </c>
      <c r="I745">
        <v>39</v>
      </c>
      <c r="J745" s="5">
        <v>6669</v>
      </c>
      <c r="K745" s="4">
        <v>997</v>
      </c>
      <c r="L745" s="6">
        <v>45737</v>
      </c>
      <c r="M745" s="7">
        <f t="shared" si="33"/>
        <v>0.11504956443376389</v>
      </c>
      <c r="N745" s="7">
        <f t="shared" si="34"/>
        <v>0.10182767624020887</v>
      </c>
      <c r="O745" s="7">
        <f t="shared" si="35"/>
        <v>5.6890672016048143</v>
      </c>
    </row>
    <row r="746" spans="1:15" x14ac:dyDescent="0.35">
      <c r="A746">
        <v>745</v>
      </c>
      <c r="B746">
        <v>42</v>
      </c>
      <c r="C746" t="s">
        <v>12</v>
      </c>
      <c r="D746" t="s">
        <v>13</v>
      </c>
      <c r="E746" t="s">
        <v>24</v>
      </c>
      <c r="F746" t="s">
        <v>15</v>
      </c>
      <c r="G746">
        <v>2273</v>
      </c>
      <c r="H746">
        <v>463</v>
      </c>
      <c r="I746">
        <v>49</v>
      </c>
      <c r="J746" s="5">
        <v>9261</v>
      </c>
      <c r="K746" s="4">
        <v>278</v>
      </c>
      <c r="L746" s="6">
        <v>45759</v>
      </c>
      <c r="M746" s="7">
        <f t="shared" si="33"/>
        <v>0.20369555653321603</v>
      </c>
      <c r="N746" s="7">
        <f t="shared" si="34"/>
        <v>0.10583153347732181</v>
      </c>
      <c r="O746" s="7">
        <f t="shared" si="35"/>
        <v>32.312949640287769</v>
      </c>
    </row>
    <row r="747" spans="1:15" x14ac:dyDescent="0.35">
      <c r="A747">
        <v>746</v>
      </c>
      <c r="B747">
        <v>40</v>
      </c>
      <c r="C747" t="s">
        <v>19</v>
      </c>
      <c r="D747" t="s">
        <v>20</v>
      </c>
      <c r="E747" t="s">
        <v>30</v>
      </c>
      <c r="F747" t="s">
        <v>31</v>
      </c>
      <c r="G747">
        <v>3165</v>
      </c>
      <c r="H747">
        <v>96</v>
      </c>
      <c r="I747">
        <v>57</v>
      </c>
      <c r="J747" s="5">
        <v>11229</v>
      </c>
      <c r="K747" s="4">
        <v>775</v>
      </c>
      <c r="L747" s="6">
        <v>45763</v>
      </c>
      <c r="M747" s="7">
        <f t="shared" si="33"/>
        <v>3.0331753554502371E-2</v>
      </c>
      <c r="N747" s="7">
        <f t="shared" si="34"/>
        <v>0.59375</v>
      </c>
      <c r="O747" s="7">
        <f t="shared" si="35"/>
        <v>13.489032258064515</v>
      </c>
    </row>
    <row r="748" spans="1:15" x14ac:dyDescent="0.35">
      <c r="A748">
        <v>747</v>
      </c>
      <c r="B748">
        <v>24</v>
      </c>
      <c r="C748" t="s">
        <v>12</v>
      </c>
      <c r="D748" t="s">
        <v>20</v>
      </c>
      <c r="E748" t="s">
        <v>33</v>
      </c>
      <c r="F748" t="s">
        <v>29</v>
      </c>
      <c r="G748">
        <v>4090</v>
      </c>
      <c r="H748">
        <v>327</v>
      </c>
      <c r="I748">
        <v>45</v>
      </c>
      <c r="J748" s="5">
        <v>4005</v>
      </c>
      <c r="K748" s="4">
        <v>529</v>
      </c>
      <c r="L748" s="6">
        <v>45759</v>
      </c>
      <c r="M748" s="7">
        <f t="shared" si="33"/>
        <v>7.995110024449878E-2</v>
      </c>
      <c r="N748" s="7">
        <f t="shared" si="34"/>
        <v>0.13761467889908258</v>
      </c>
      <c r="O748" s="7">
        <f t="shared" si="35"/>
        <v>6.5708884688090734</v>
      </c>
    </row>
    <row r="749" spans="1:15" x14ac:dyDescent="0.35">
      <c r="A749">
        <v>748</v>
      </c>
      <c r="B749">
        <v>21</v>
      </c>
      <c r="C749" t="s">
        <v>12</v>
      </c>
      <c r="D749" t="s">
        <v>16</v>
      </c>
      <c r="E749" t="s">
        <v>34</v>
      </c>
      <c r="F749" t="s">
        <v>18</v>
      </c>
      <c r="G749">
        <v>1172</v>
      </c>
      <c r="H749">
        <v>50</v>
      </c>
      <c r="I749">
        <v>57</v>
      </c>
      <c r="J749" s="5">
        <v>6441</v>
      </c>
      <c r="K749" s="4">
        <v>1411</v>
      </c>
      <c r="L749" s="6">
        <v>45661</v>
      </c>
      <c r="M749" s="7">
        <f t="shared" si="33"/>
        <v>4.2662116040955635E-2</v>
      </c>
      <c r="N749" s="7">
        <f t="shared" si="34"/>
        <v>1.1399999999999999</v>
      </c>
      <c r="O749" s="7">
        <f t="shared" si="35"/>
        <v>3.5648476257973067</v>
      </c>
    </row>
    <row r="750" spans="1:15" x14ac:dyDescent="0.35">
      <c r="A750">
        <v>749</v>
      </c>
      <c r="B750">
        <v>47</v>
      </c>
      <c r="C750" t="s">
        <v>12</v>
      </c>
      <c r="D750" t="s">
        <v>26</v>
      </c>
      <c r="E750" t="s">
        <v>33</v>
      </c>
      <c r="F750" t="s">
        <v>18</v>
      </c>
      <c r="G750">
        <v>1001</v>
      </c>
      <c r="H750">
        <v>267</v>
      </c>
      <c r="I750">
        <v>8</v>
      </c>
      <c r="J750" s="5">
        <v>1200</v>
      </c>
      <c r="K750" s="4">
        <v>1736</v>
      </c>
      <c r="L750" s="6">
        <v>45730</v>
      </c>
      <c r="M750" s="7">
        <f t="shared" si="33"/>
        <v>0.26673326673326675</v>
      </c>
      <c r="N750" s="7">
        <f t="shared" si="34"/>
        <v>2.9962546816479401E-2</v>
      </c>
      <c r="O750" s="7">
        <f t="shared" si="35"/>
        <v>-0.30875576036866359</v>
      </c>
    </row>
    <row r="751" spans="1:15" x14ac:dyDescent="0.35">
      <c r="A751">
        <v>750</v>
      </c>
      <c r="B751">
        <v>44</v>
      </c>
      <c r="C751" t="s">
        <v>19</v>
      </c>
      <c r="D751" t="s">
        <v>23</v>
      </c>
      <c r="E751" t="s">
        <v>30</v>
      </c>
      <c r="F751" t="s">
        <v>15</v>
      </c>
      <c r="G751">
        <v>4886</v>
      </c>
      <c r="H751">
        <v>57</v>
      </c>
      <c r="I751">
        <v>28</v>
      </c>
      <c r="J751" s="5">
        <v>3612</v>
      </c>
      <c r="K751" s="4">
        <v>491</v>
      </c>
      <c r="L751" s="6">
        <v>45675</v>
      </c>
      <c r="M751" s="7">
        <f t="shared" si="33"/>
        <v>1.1665984445354072E-2</v>
      </c>
      <c r="N751" s="7">
        <f t="shared" si="34"/>
        <v>0.49122807017543857</v>
      </c>
      <c r="O751" s="7">
        <f t="shared" si="35"/>
        <v>6.3564154786150713</v>
      </c>
    </row>
    <row r="752" spans="1:15" x14ac:dyDescent="0.35">
      <c r="A752">
        <v>751</v>
      </c>
      <c r="B752">
        <v>48</v>
      </c>
      <c r="C752" t="s">
        <v>19</v>
      </c>
      <c r="D752" t="s">
        <v>27</v>
      </c>
      <c r="E752" t="s">
        <v>32</v>
      </c>
      <c r="F752" t="s">
        <v>22</v>
      </c>
      <c r="G752">
        <v>1007</v>
      </c>
      <c r="H752">
        <v>462</v>
      </c>
      <c r="I752">
        <v>20</v>
      </c>
      <c r="J752" s="5">
        <v>2520</v>
      </c>
      <c r="K752" s="4">
        <v>1578</v>
      </c>
      <c r="L752" s="6">
        <v>45694</v>
      </c>
      <c r="M752" s="7">
        <f t="shared" si="33"/>
        <v>0.45878848063555117</v>
      </c>
      <c r="N752" s="7">
        <f t="shared" si="34"/>
        <v>4.3290043290043288E-2</v>
      </c>
      <c r="O752" s="7">
        <f t="shared" si="35"/>
        <v>0.59695817490494296</v>
      </c>
    </row>
    <row r="753" spans="1:15" x14ac:dyDescent="0.35">
      <c r="A753">
        <v>752</v>
      </c>
      <c r="B753">
        <v>21</v>
      </c>
      <c r="C753" t="s">
        <v>19</v>
      </c>
      <c r="D753" t="s">
        <v>27</v>
      </c>
      <c r="E753" t="s">
        <v>28</v>
      </c>
      <c r="F753" t="s">
        <v>29</v>
      </c>
      <c r="G753">
        <v>4122</v>
      </c>
      <c r="H753">
        <v>353</v>
      </c>
      <c r="I753">
        <v>50</v>
      </c>
      <c r="J753" s="5">
        <v>9200</v>
      </c>
      <c r="K753" s="4">
        <v>1262</v>
      </c>
      <c r="L753" s="6">
        <v>45732</v>
      </c>
      <c r="M753" s="7">
        <f t="shared" si="33"/>
        <v>8.5638039786511397E-2</v>
      </c>
      <c r="N753" s="7">
        <f t="shared" si="34"/>
        <v>0.14164305949008499</v>
      </c>
      <c r="O753" s="7">
        <f t="shared" si="35"/>
        <v>6.2900158478605386</v>
      </c>
    </row>
    <row r="754" spans="1:15" x14ac:dyDescent="0.35">
      <c r="A754">
        <v>753</v>
      </c>
      <c r="B754">
        <v>24</v>
      </c>
      <c r="C754" t="s">
        <v>19</v>
      </c>
      <c r="D754" t="s">
        <v>20</v>
      </c>
      <c r="E754" t="s">
        <v>34</v>
      </c>
      <c r="F754" t="s">
        <v>29</v>
      </c>
      <c r="G754">
        <v>2655</v>
      </c>
      <c r="H754">
        <v>317</v>
      </c>
      <c r="I754">
        <v>40</v>
      </c>
      <c r="J754" s="5">
        <v>6760</v>
      </c>
      <c r="K754" s="4">
        <v>1753</v>
      </c>
      <c r="L754" s="6">
        <v>45715</v>
      </c>
      <c r="M754" s="7">
        <f t="shared" si="33"/>
        <v>0.11939736346516007</v>
      </c>
      <c r="N754" s="7">
        <f t="shared" si="34"/>
        <v>0.12618296529968454</v>
      </c>
      <c r="O754" s="7">
        <f t="shared" si="35"/>
        <v>2.8562464346834</v>
      </c>
    </row>
    <row r="755" spans="1:15" x14ac:dyDescent="0.35">
      <c r="A755">
        <v>754</v>
      </c>
      <c r="B755">
        <v>25</v>
      </c>
      <c r="C755" t="s">
        <v>19</v>
      </c>
      <c r="D755" t="s">
        <v>20</v>
      </c>
      <c r="E755" t="s">
        <v>17</v>
      </c>
      <c r="F755" t="s">
        <v>31</v>
      </c>
      <c r="G755">
        <v>2381</v>
      </c>
      <c r="H755">
        <v>136</v>
      </c>
      <c r="I755">
        <v>10</v>
      </c>
      <c r="J755" s="5">
        <v>1230</v>
      </c>
      <c r="K755" s="4">
        <v>781</v>
      </c>
      <c r="L755" s="6">
        <v>45743</v>
      </c>
      <c r="M755" s="7">
        <f t="shared" si="33"/>
        <v>5.7118857622847546E-2</v>
      </c>
      <c r="N755" s="7">
        <f t="shared" si="34"/>
        <v>7.3529411764705885E-2</v>
      </c>
      <c r="O755" s="7">
        <f t="shared" si="35"/>
        <v>0.5749039692701664</v>
      </c>
    </row>
    <row r="756" spans="1:15" x14ac:dyDescent="0.35">
      <c r="A756">
        <v>755</v>
      </c>
      <c r="B756">
        <v>47</v>
      </c>
      <c r="C756" t="s">
        <v>12</v>
      </c>
      <c r="D756" t="s">
        <v>23</v>
      </c>
      <c r="E756" t="s">
        <v>30</v>
      </c>
      <c r="F756" t="s">
        <v>15</v>
      </c>
      <c r="G756">
        <v>518</v>
      </c>
      <c r="H756">
        <v>150</v>
      </c>
      <c r="I756">
        <v>22</v>
      </c>
      <c r="J756" s="5">
        <v>3960</v>
      </c>
      <c r="K756" s="4">
        <v>806</v>
      </c>
      <c r="L756" s="6">
        <v>45699</v>
      </c>
      <c r="M756" s="7">
        <f t="shared" si="33"/>
        <v>0.28957528957528955</v>
      </c>
      <c r="N756" s="7">
        <f t="shared" si="34"/>
        <v>0.14666666666666667</v>
      </c>
      <c r="O756" s="7">
        <f t="shared" si="35"/>
        <v>3.9131513647642682</v>
      </c>
    </row>
    <row r="757" spans="1:15" x14ac:dyDescent="0.35">
      <c r="A757">
        <v>756</v>
      </c>
      <c r="B757">
        <v>44</v>
      </c>
      <c r="C757" t="s">
        <v>12</v>
      </c>
      <c r="D757" t="s">
        <v>27</v>
      </c>
      <c r="E757" t="s">
        <v>14</v>
      </c>
      <c r="F757" t="s">
        <v>31</v>
      </c>
      <c r="G757">
        <v>2580</v>
      </c>
      <c r="H757">
        <v>278</v>
      </c>
      <c r="I757">
        <v>16</v>
      </c>
      <c r="J757" s="5">
        <v>2768</v>
      </c>
      <c r="K757" s="4">
        <v>1853</v>
      </c>
      <c r="L757" s="6">
        <v>45666</v>
      </c>
      <c r="M757" s="7">
        <f t="shared" si="33"/>
        <v>0.10775193798449613</v>
      </c>
      <c r="N757" s="7">
        <f t="shared" si="34"/>
        <v>5.7553956834532377E-2</v>
      </c>
      <c r="O757" s="7">
        <f t="shared" si="35"/>
        <v>0.49379384781435509</v>
      </c>
    </row>
    <row r="758" spans="1:15" x14ac:dyDescent="0.35">
      <c r="A758">
        <v>757</v>
      </c>
      <c r="B758">
        <v>32</v>
      </c>
      <c r="C758" t="s">
        <v>12</v>
      </c>
      <c r="D758" t="s">
        <v>26</v>
      </c>
      <c r="E758" t="s">
        <v>33</v>
      </c>
      <c r="F758" t="s">
        <v>18</v>
      </c>
      <c r="G758">
        <v>1769</v>
      </c>
      <c r="H758">
        <v>454</v>
      </c>
      <c r="I758">
        <v>33</v>
      </c>
      <c r="J758" s="5">
        <v>6138</v>
      </c>
      <c r="K758" s="4">
        <v>1384</v>
      </c>
      <c r="L758" s="6">
        <v>45709</v>
      </c>
      <c r="M758" s="7">
        <f t="shared" si="33"/>
        <v>0.25664217071791973</v>
      </c>
      <c r="N758" s="7">
        <f t="shared" si="34"/>
        <v>7.268722466960352E-2</v>
      </c>
      <c r="O758" s="7">
        <f t="shared" si="35"/>
        <v>3.4349710982658959</v>
      </c>
    </row>
    <row r="759" spans="1:15" x14ac:dyDescent="0.35">
      <c r="A759">
        <v>758</v>
      </c>
      <c r="B759">
        <v>24</v>
      </c>
      <c r="C759" t="s">
        <v>19</v>
      </c>
      <c r="D759" t="s">
        <v>26</v>
      </c>
      <c r="E759" t="s">
        <v>33</v>
      </c>
      <c r="F759" t="s">
        <v>31</v>
      </c>
      <c r="G759">
        <v>4456</v>
      </c>
      <c r="H759">
        <v>221</v>
      </c>
      <c r="I759">
        <v>58</v>
      </c>
      <c r="J759" s="5">
        <v>4756</v>
      </c>
      <c r="K759" s="4">
        <v>473</v>
      </c>
      <c r="L759" s="6">
        <v>45765</v>
      </c>
      <c r="M759" s="7">
        <f t="shared" si="33"/>
        <v>4.9596050269299821E-2</v>
      </c>
      <c r="N759" s="7">
        <f t="shared" si="34"/>
        <v>0.26244343891402716</v>
      </c>
      <c r="O759" s="7">
        <f t="shared" si="35"/>
        <v>9.0549682875264264</v>
      </c>
    </row>
    <row r="760" spans="1:15" x14ac:dyDescent="0.35">
      <c r="A760">
        <v>759</v>
      </c>
      <c r="B760">
        <v>48</v>
      </c>
      <c r="C760" t="s">
        <v>19</v>
      </c>
      <c r="D760" t="s">
        <v>23</v>
      </c>
      <c r="E760" t="s">
        <v>21</v>
      </c>
      <c r="F760" t="s">
        <v>15</v>
      </c>
      <c r="G760">
        <v>921</v>
      </c>
      <c r="H760">
        <v>470</v>
      </c>
      <c r="I760">
        <v>62</v>
      </c>
      <c r="J760" s="5">
        <v>8556</v>
      </c>
      <c r="K760" s="4">
        <v>563</v>
      </c>
      <c r="L760" s="6">
        <v>45668</v>
      </c>
      <c r="M760" s="7">
        <f t="shared" si="33"/>
        <v>0.51031487513572205</v>
      </c>
      <c r="N760" s="7">
        <f t="shared" si="34"/>
        <v>0.13191489361702127</v>
      </c>
      <c r="O760" s="7">
        <f t="shared" si="35"/>
        <v>14.197158081705151</v>
      </c>
    </row>
    <row r="761" spans="1:15" x14ac:dyDescent="0.35">
      <c r="A761">
        <v>760</v>
      </c>
      <c r="B761">
        <v>46</v>
      </c>
      <c r="C761" t="s">
        <v>19</v>
      </c>
      <c r="D761" t="s">
        <v>26</v>
      </c>
      <c r="E761" t="s">
        <v>17</v>
      </c>
      <c r="F761" t="s">
        <v>15</v>
      </c>
      <c r="G761">
        <v>1390</v>
      </c>
      <c r="H761">
        <v>259</v>
      </c>
      <c r="I761">
        <v>72</v>
      </c>
      <c r="J761" s="5">
        <v>12744</v>
      </c>
      <c r="K761" s="4">
        <v>1080</v>
      </c>
      <c r="L761" s="6">
        <v>45679</v>
      </c>
      <c r="M761" s="7">
        <f t="shared" si="33"/>
        <v>0.18633093525179856</v>
      </c>
      <c r="N761" s="7">
        <f t="shared" si="34"/>
        <v>0.27799227799227799</v>
      </c>
      <c r="O761" s="7">
        <f t="shared" si="35"/>
        <v>10.8</v>
      </c>
    </row>
    <row r="762" spans="1:15" x14ac:dyDescent="0.35">
      <c r="A762">
        <v>761</v>
      </c>
      <c r="B762">
        <v>38</v>
      </c>
      <c r="C762" t="s">
        <v>12</v>
      </c>
      <c r="D762" t="s">
        <v>26</v>
      </c>
      <c r="E762" t="s">
        <v>14</v>
      </c>
      <c r="F762" t="s">
        <v>31</v>
      </c>
      <c r="G762">
        <v>1973</v>
      </c>
      <c r="H762">
        <v>221</v>
      </c>
      <c r="I762">
        <v>10</v>
      </c>
      <c r="J762" s="5">
        <v>1040</v>
      </c>
      <c r="K762" s="4">
        <v>1649</v>
      </c>
      <c r="L762" s="6">
        <v>45673</v>
      </c>
      <c r="M762" s="7">
        <f t="shared" si="33"/>
        <v>0.11201216421692854</v>
      </c>
      <c r="N762" s="7">
        <f t="shared" si="34"/>
        <v>4.5248868778280542E-2</v>
      </c>
      <c r="O762" s="7">
        <f t="shared" si="35"/>
        <v>-0.36931473620375987</v>
      </c>
    </row>
    <row r="763" spans="1:15" x14ac:dyDescent="0.35">
      <c r="A763">
        <v>762</v>
      </c>
      <c r="B763">
        <v>26</v>
      </c>
      <c r="C763" t="s">
        <v>12</v>
      </c>
      <c r="D763" t="s">
        <v>16</v>
      </c>
      <c r="E763" t="s">
        <v>21</v>
      </c>
      <c r="F763" t="s">
        <v>29</v>
      </c>
      <c r="G763">
        <v>4481</v>
      </c>
      <c r="H763">
        <v>216</v>
      </c>
      <c r="I763">
        <v>32</v>
      </c>
      <c r="J763" s="5">
        <v>5472</v>
      </c>
      <c r="K763" s="4">
        <v>423</v>
      </c>
      <c r="L763" s="6">
        <v>45702</v>
      </c>
      <c r="M763" s="7">
        <f t="shared" si="33"/>
        <v>4.8203525998661012E-2</v>
      </c>
      <c r="N763" s="7">
        <f t="shared" si="34"/>
        <v>0.14814814814814814</v>
      </c>
      <c r="O763" s="7">
        <f t="shared" si="35"/>
        <v>11.936170212765957</v>
      </c>
    </row>
    <row r="764" spans="1:15" x14ac:dyDescent="0.35">
      <c r="A764">
        <v>763</v>
      </c>
      <c r="B764">
        <v>49</v>
      </c>
      <c r="C764" t="s">
        <v>12</v>
      </c>
      <c r="D764" t="s">
        <v>20</v>
      </c>
      <c r="E764" t="s">
        <v>21</v>
      </c>
      <c r="F764" t="s">
        <v>31</v>
      </c>
      <c r="G764">
        <v>4233</v>
      </c>
      <c r="H764">
        <v>465</v>
      </c>
      <c r="I764">
        <v>73</v>
      </c>
      <c r="J764" s="5">
        <v>10804</v>
      </c>
      <c r="K764" s="4">
        <v>926</v>
      </c>
      <c r="L764" s="6">
        <v>45696</v>
      </c>
      <c r="M764" s="7">
        <f t="shared" si="33"/>
        <v>0.10985116938341602</v>
      </c>
      <c r="N764" s="7">
        <f t="shared" si="34"/>
        <v>0.15698924731182795</v>
      </c>
      <c r="O764" s="7">
        <f t="shared" si="35"/>
        <v>10.667386609071274</v>
      </c>
    </row>
    <row r="765" spans="1:15" x14ac:dyDescent="0.35">
      <c r="A765">
        <v>764</v>
      </c>
      <c r="B765">
        <v>20</v>
      </c>
      <c r="C765" t="s">
        <v>12</v>
      </c>
      <c r="D765" t="s">
        <v>26</v>
      </c>
      <c r="E765" t="s">
        <v>24</v>
      </c>
      <c r="F765" t="s">
        <v>15</v>
      </c>
      <c r="G765">
        <v>1389</v>
      </c>
      <c r="H765">
        <v>320</v>
      </c>
      <c r="I765">
        <v>75</v>
      </c>
      <c r="J765" s="5">
        <v>14250</v>
      </c>
      <c r="K765" s="4">
        <v>1124</v>
      </c>
      <c r="L765" s="6">
        <v>45667</v>
      </c>
      <c r="M765" s="7">
        <f t="shared" si="33"/>
        <v>0.23038156947444205</v>
      </c>
      <c r="N765" s="7">
        <f t="shared" si="34"/>
        <v>0.234375</v>
      </c>
      <c r="O765" s="7">
        <f t="shared" si="35"/>
        <v>11.677935943060499</v>
      </c>
    </row>
    <row r="766" spans="1:15" x14ac:dyDescent="0.35">
      <c r="A766">
        <v>765</v>
      </c>
      <c r="B766">
        <v>30</v>
      </c>
      <c r="C766" t="s">
        <v>19</v>
      </c>
      <c r="D766" t="s">
        <v>13</v>
      </c>
      <c r="E766" t="s">
        <v>24</v>
      </c>
      <c r="F766" t="s">
        <v>15</v>
      </c>
      <c r="G766">
        <v>2895</v>
      </c>
      <c r="H766">
        <v>78</v>
      </c>
      <c r="I766">
        <v>39</v>
      </c>
      <c r="J766" s="5">
        <v>3549</v>
      </c>
      <c r="K766" s="4">
        <v>1741</v>
      </c>
      <c r="L766" s="6">
        <v>45724</v>
      </c>
      <c r="M766" s="7">
        <f t="shared" si="33"/>
        <v>2.6943005181347152E-2</v>
      </c>
      <c r="N766" s="7">
        <f t="shared" si="34"/>
        <v>0.5</v>
      </c>
      <c r="O766" s="7">
        <f t="shared" si="35"/>
        <v>1.038483630097645</v>
      </c>
    </row>
    <row r="767" spans="1:15" x14ac:dyDescent="0.35">
      <c r="A767">
        <v>766</v>
      </c>
      <c r="B767">
        <v>20</v>
      </c>
      <c r="C767" t="s">
        <v>12</v>
      </c>
      <c r="D767" t="s">
        <v>26</v>
      </c>
      <c r="E767" t="s">
        <v>17</v>
      </c>
      <c r="F767" t="s">
        <v>31</v>
      </c>
      <c r="G767">
        <v>1403</v>
      </c>
      <c r="H767">
        <v>57</v>
      </c>
      <c r="I767">
        <v>51</v>
      </c>
      <c r="J767" s="5">
        <v>8364</v>
      </c>
      <c r="K767" s="4">
        <v>1914</v>
      </c>
      <c r="L767" s="6">
        <v>45744</v>
      </c>
      <c r="M767" s="7">
        <f t="shared" si="33"/>
        <v>4.0627227369921595E-2</v>
      </c>
      <c r="N767" s="7">
        <f t="shared" si="34"/>
        <v>0.89473684210526316</v>
      </c>
      <c r="O767" s="7">
        <f t="shared" si="35"/>
        <v>3.3699059561128526</v>
      </c>
    </row>
    <row r="768" spans="1:15" x14ac:dyDescent="0.35">
      <c r="A768">
        <v>767</v>
      </c>
      <c r="B768">
        <v>31</v>
      </c>
      <c r="C768" t="s">
        <v>12</v>
      </c>
      <c r="D768" t="s">
        <v>20</v>
      </c>
      <c r="E768" t="s">
        <v>25</v>
      </c>
      <c r="F768" t="s">
        <v>15</v>
      </c>
      <c r="G768">
        <v>3587</v>
      </c>
      <c r="H768">
        <v>382</v>
      </c>
      <c r="I768">
        <v>71</v>
      </c>
      <c r="J768" s="5">
        <v>6248</v>
      </c>
      <c r="K768" s="4">
        <v>1719</v>
      </c>
      <c r="L768" s="6">
        <v>45728</v>
      </c>
      <c r="M768" s="7">
        <f t="shared" si="33"/>
        <v>0.10649567884025649</v>
      </c>
      <c r="N768" s="7">
        <f t="shared" si="34"/>
        <v>0.18586387434554974</v>
      </c>
      <c r="O768" s="7">
        <f t="shared" si="35"/>
        <v>2.6346713205351948</v>
      </c>
    </row>
    <row r="769" spans="1:15" x14ac:dyDescent="0.35">
      <c r="A769">
        <v>768</v>
      </c>
      <c r="B769">
        <v>54</v>
      </c>
      <c r="C769" t="s">
        <v>12</v>
      </c>
      <c r="D769" t="s">
        <v>13</v>
      </c>
      <c r="E769" t="s">
        <v>34</v>
      </c>
      <c r="F769" t="s">
        <v>15</v>
      </c>
      <c r="G769">
        <v>2562</v>
      </c>
      <c r="H769">
        <v>376</v>
      </c>
      <c r="I769">
        <v>45</v>
      </c>
      <c r="J769" s="5">
        <v>8640</v>
      </c>
      <c r="K769" s="4">
        <v>1631</v>
      </c>
      <c r="L769" s="6">
        <v>45667</v>
      </c>
      <c r="M769" s="7">
        <f t="shared" si="33"/>
        <v>0.14676034348165495</v>
      </c>
      <c r="N769" s="7">
        <f t="shared" si="34"/>
        <v>0.11968085106382979</v>
      </c>
      <c r="O769" s="7">
        <f t="shared" si="35"/>
        <v>4.2973635806253832</v>
      </c>
    </row>
    <row r="770" spans="1:15" x14ac:dyDescent="0.35">
      <c r="A770">
        <v>769</v>
      </c>
      <c r="B770">
        <v>42</v>
      </c>
      <c r="C770" t="s">
        <v>12</v>
      </c>
      <c r="D770" t="s">
        <v>27</v>
      </c>
      <c r="E770" t="s">
        <v>33</v>
      </c>
      <c r="F770" t="s">
        <v>18</v>
      </c>
      <c r="G770">
        <v>2014</v>
      </c>
      <c r="H770">
        <v>257</v>
      </c>
      <c r="I770">
        <v>76</v>
      </c>
      <c r="J770" s="5">
        <v>14592</v>
      </c>
      <c r="K770" s="4">
        <v>1151</v>
      </c>
      <c r="L770" s="6">
        <v>45669</v>
      </c>
      <c r="M770" s="7">
        <f t="shared" si="33"/>
        <v>0.12760675273088382</v>
      </c>
      <c r="N770" s="7">
        <f t="shared" si="34"/>
        <v>0.29571984435797666</v>
      </c>
      <c r="O770" s="7">
        <f t="shared" si="35"/>
        <v>11.677671589921808</v>
      </c>
    </row>
    <row r="771" spans="1:15" x14ac:dyDescent="0.35">
      <c r="A771">
        <v>770</v>
      </c>
      <c r="B771">
        <v>31</v>
      </c>
      <c r="C771" t="s">
        <v>19</v>
      </c>
      <c r="D771" t="s">
        <v>20</v>
      </c>
      <c r="E771" t="s">
        <v>30</v>
      </c>
      <c r="F771" t="s">
        <v>29</v>
      </c>
      <c r="G771">
        <v>4036</v>
      </c>
      <c r="H771">
        <v>237</v>
      </c>
      <c r="I771">
        <v>30</v>
      </c>
      <c r="J771" s="5">
        <v>5730</v>
      </c>
      <c r="K771" s="4">
        <v>1717</v>
      </c>
      <c r="L771" s="6">
        <v>45693</v>
      </c>
      <c r="M771" s="7">
        <f t="shared" ref="M771:M834" si="36">H771/G771</f>
        <v>5.8721506442021801E-2</v>
      </c>
      <c r="N771" s="7">
        <f t="shared" ref="N771:N834" si="37">I771/H771</f>
        <v>0.12658227848101267</v>
      </c>
      <c r="O771" s="7">
        <f t="shared" ref="O771:O834" si="38">(J771-K771)/K771</f>
        <v>2.3372160745486315</v>
      </c>
    </row>
    <row r="772" spans="1:15" x14ac:dyDescent="0.35">
      <c r="A772">
        <v>771</v>
      </c>
      <c r="B772">
        <v>22</v>
      </c>
      <c r="C772" t="s">
        <v>19</v>
      </c>
      <c r="D772" t="s">
        <v>16</v>
      </c>
      <c r="E772" t="s">
        <v>30</v>
      </c>
      <c r="F772" t="s">
        <v>18</v>
      </c>
      <c r="G772">
        <v>3436</v>
      </c>
      <c r="H772">
        <v>328</v>
      </c>
      <c r="I772">
        <v>47</v>
      </c>
      <c r="J772" s="5">
        <v>8930</v>
      </c>
      <c r="K772" s="4">
        <v>333</v>
      </c>
      <c r="L772" s="6">
        <v>45675</v>
      </c>
      <c r="M772" s="7">
        <f t="shared" si="36"/>
        <v>9.5459837019790453E-2</v>
      </c>
      <c r="N772" s="7">
        <f t="shared" si="37"/>
        <v>0.14329268292682926</v>
      </c>
      <c r="O772" s="7">
        <f t="shared" si="38"/>
        <v>25.816816816816818</v>
      </c>
    </row>
    <row r="773" spans="1:15" x14ac:dyDescent="0.35">
      <c r="A773">
        <v>772</v>
      </c>
      <c r="B773">
        <v>45</v>
      </c>
      <c r="C773" t="s">
        <v>12</v>
      </c>
      <c r="D773" t="s">
        <v>27</v>
      </c>
      <c r="E773" t="s">
        <v>24</v>
      </c>
      <c r="F773" t="s">
        <v>31</v>
      </c>
      <c r="G773">
        <v>3761</v>
      </c>
      <c r="H773">
        <v>190</v>
      </c>
      <c r="I773">
        <v>47</v>
      </c>
      <c r="J773" s="5">
        <v>6486</v>
      </c>
      <c r="K773" s="4">
        <v>857</v>
      </c>
      <c r="L773" s="6">
        <v>45713</v>
      </c>
      <c r="M773" s="7">
        <f t="shared" si="36"/>
        <v>5.0518479127891515E-2</v>
      </c>
      <c r="N773" s="7">
        <f t="shared" si="37"/>
        <v>0.24736842105263157</v>
      </c>
      <c r="O773" s="7">
        <f t="shared" si="38"/>
        <v>6.5682613768961495</v>
      </c>
    </row>
    <row r="774" spans="1:15" x14ac:dyDescent="0.35">
      <c r="A774">
        <v>773</v>
      </c>
      <c r="B774">
        <v>20</v>
      </c>
      <c r="C774" t="s">
        <v>19</v>
      </c>
      <c r="D774" t="s">
        <v>13</v>
      </c>
      <c r="E774" t="s">
        <v>21</v>
      </c>
      <c r="F774" t="s">
        <v>18</v>
      </c>
      <c r="G774">
        <v>4706</v>
      </c>
      <c r="H774">
        <v>186</v>
      </c>
      <c r="I774">
        <v>72</v>
      </c>
      <c r="J774" s="5">
        <v>12744</v>
      </c>
      <c r="K774" s="4">
        <v>1013</v>
      </c>
      <c r="L774" s="6">
        <v>45665</v>
      </c>
      <c r="M774" s="7">
        <f t="shared" si="36"/>
        <v>3.9524011899702505E-2</v>
      </c>
      <c r="N774" s="7">
        <f t="shared" si="37"/>
        <v>0.38709677419354838</v>
      </c>
      <c r="O774" s="7">
        <f t="shared" si="38"/>
        <v>11.580454096742349</v>
      </c>
    </row>
    <row r="775" spans="1:15" x14ac:dyDescent="0.35">
      <c r="A775">
        <v>774</v>
      </c>
      <c r="B775">
        <v>30</v>
      </c>
      <c r="C775" t="s">
        <v>12</v>
      </c>
      <c r="D775" t="s">
        <v>16</v>
      </c>
      <c r="E775" t="s">
        <v>25</v>
      </c>
      <c r="F775" t="s">
        <v>31</v>
      </c>
      <c r="G775">
        <v>2041</v>
      </c>
      <c r="H775">
        <v>329</v>
      </c>
      <c r="I775">
        <v>52</v>
      </c>
      <c r="J775" s="5">
        <v>8996</v>
      </c>
      <c r="K775" s="4">
        <v>1710</v>
      </c>
      <c r="L775" s="6">
        <v>45682</v>
      </c>
      <c r="M775" s="7">
        <f t="shared" si="36"/>
        <v>0.16119549240568348</v>
      </c>
      <c r="N775" s="7">
        <f t="shared" si="37"/>
        <v>0.1580547112462006</v>
      </c>
      <c r="O775" s="7">
        <f t="shared" si="38"/>
        <v>4.2608187134502922</v>
      </c>
    </row>
    <row r="776" spans="1:15" x14ac:dyDescent="0.35">
      <c r="A776">
        <v>775</v>
      </c>
      <c r="B776">
        <v>29</v>
      </c>
      <c r="C776" t="s">
        <v>12</v>
      </c>
      <c r="D776" t="s">
        <v>23</v>
      </c>
      <c r="E776" t="s">
        <v>33</v>
      </c>
      <c r="F776" t="s">
        <v>18</v>
      </c>
      <c r="G776">
        <v>4743</v>
      </c>
      <c r="H776">
        <v>167</v>
      </c>
      <c r="I776">
        <v>70</v>
      </c>
      <c r="J776" s="5">
        <v>13510</v>
      </c>
      <c r="K776" s="4">
        <v>1012</v>
      </c>
      <c r="L776" s="6">
        <v>45768</v>
      </c>
      <c r="M776" s="7">
        <f t="shared" si="36"/>
        <v>3.5209782837866327E-2</v>
      </c>
      <c r="N776" s="7">
        <f t="shared" si="37"/>
        <v>0.41916167664670656</v>
      </c>
      <c r="O776" s="7">
        <f t="shared" si="38"/>
        <v>12.349802371541502</v>
      </c>
    </row>
    <row r="777" spans="1:15" x14ac:dyDescent="0.35">
      <c r="A777">
        <v>776</v>
      </c>
      <c r="B777">
        <v>43</v>
      </c>
      <c r="C777" t="s">
        <v>12</v>
      </c>
      <c r="D777" t="s">
        <v>23</v>
      </c>
      <c r="E777" t="s">
        <v>28</v>
      </c>
      <c r="F777" t="s">
        <v>15</v>
      </c>
      <c r="G777">
        <v>2284</v>
      </c>
      <c r="H777">
        <v>488</v>
      </c>
      <c r="I777">
        <v>79</v>
      </c>
      <c r="J777" s="5">
        <v>9006</v>
      </c>
      <c r="K777" s="4">
        <v>1370</v>
      </c>
      <c r="L777" s="6">
        <v>45702</v>
      </c>
      <c r="M777" s="7">
        <f t="shared" si="36"/>
        <v>0.2136602451838879</v>
      </c>
      <c r="N777" s="7">
        <f t="shared" si="37"/>
        <v>0.16188524590163936</v>
      </c>
      <c r="O777" s="7">
        <f t="shared" si="38"/>
        <v>5.5737226277372267</v>
      </c>
    </row>
    <row r="778" spans="1:15" x14ac:dyDescent="0.35">
      <c r="A778">
        <v>777</v>
      </c>
      <c r="B778">
        <v>39</v>
      </c>
      <c r="C778" t="s">
        <v>19</v>
      </c>
      <c r="D778" t="s">
        <v>20</v>
      </c>
      <c r="E778" t="s">
        <v>14</v>
      </c>
      <c r="F778" t="s">
        <v>29</v>
      </c>
      <c r="G778">
        <v>1951</v>
      </c>
      <c r="H778">
        <v>265</v>
      </c>
      <c r="I778">
        <v>69</v>
      </c>
      <c r="J778" s="5">
        <v>8418</v>
      </c>
      <c r="K778" s="4">
        <v>762</v>
      </c>
      <c r="L778" s="6">
        <v>45713</v>
      </c>
      <c r="M778" s="7">
        <f t="shared" si="36"/>
        <v>0.13582778062532036</v>
      </c>
      <c r="N778" s="7">
        <f t="shared" si="37"/>
        <v>0.26037735849056604</v>
      </c>
      <c r="O778" s="7">
        <f t="shared" si="38"/>
        <v>10.047244094488189</v>
      </c>
    </row>
    <row r="779" spans="1:15" x14ac:dyDescent="0.35">
      <c r="A779">
        <v>778</v>
      </c>
      <c r="B779">
        <v>50</v>
      </c>
      <c r="C779" t="s">
        <v>19</v>
      </c>
      <c r="D779" t="s">
        <v>16</v>
      </c>
      <c r="E779" t="s">
        <v>24</v>
      </c>
      <c r="F779" t="s">
        <v>18</v>
      </c>
      <c r="G779">
        <v>3846</v>
      </c>
      <c r="H779">
        <v>387</v>
      </c>
      <c r="I779">
        <v>59</v>
      </c>
      <c r="J779" s="5">
        <v>10089</v>
      </c>
      <c r="K779" s="4">
        <v>1955</v>
      </c>
      <c r="L779" s="6">
        <v>45685</v>
      </c>
      <c r="M779" s="7">
        <f t="shared" si="36"/>
        <v>0.10062402496099844</v>
      </c>
      <c r="N779" s="7">
        <f t="shared" si="37"/>
        <v>0.15245478036175711</v>
      </c>
      <c r="O779" s="7">
        <f t="shared" si="38"/>
        <v>4.1606138107416877</v>
      </c>
    </row>
    <row r="780" spans="1:15" x14ac:dyDescent="0.35">
      <c r="A780">
        <v>779</v>
      </c>
      <c r="B780">
        <v>52</v>
      </c>
      <c r="C780" t="s">
        <v>12</v>
      </c>
      <c r="D780" t="s">
        <v>26</v>
      </c>
      <c r="E780" t="s">
        <v>33</v>
      </c>
      <c r="F780" t="s">
        <v>31</v>
      </c>
      <c r="G780">
        <v>3438</v>
      </c>
      <c r="H780">
        <v>229</v>
      </c>
      <c r="I780">
        <v>53</v>
      </c>
      <c r="J780" s="5">
        <v>5565</v>
      </c>
      <c r="K780" s="4">
        <v>1260</v>
      </c>
      <c r="L780" s="6">
        <v>45756</v>
      </c>
      <c r="M780" s="7">
        <f t="shared" si="36"/>
        <v>6.6608493310063993E-2</v>
      </c>
      <c r="N780" s="7">
        <f t="shared" si="37"/>
        <v>0.23144104803493451</v>
      </c>
      <c r="O780" s="7">
        <f t="shared" si="38"/>
        <v>3.4166666666666665</v>
      </c>
    </row>
    <row r="781" spans="1:15" x14ac:dyDescent="0.35">
      <c r="A781">
        <v>780</v>
      </c>
      <c r="B781">
        <v>39</v>
      </c>
      <c r="C781" t="s">
        <v>12</v>
      </c>
      <c r="D781" t="s">
        <v>13</v>
      </c>
      <c r="E781" t="s">
        <v>24</v>
      </c>
      <c r="F781" t="s">
        <v>29</v>
      </c>
      <c r="G781">
        <v>1691</v>
      </c>
      <c r="H781">
        <v>129</v>
      </c>
      <c r="I781">
        <v>42</v>
      </c>
      <c r="J781" s="5">
        <v>6972</v>
      </c>
      <c r="K781" s="4">
        <v>1861</v>
      </c>
      <c r="L781" s="6">
        <v>45717</v>
      </c>
      <c r="M781" s="7">
        <f t="shared" si="36"/>
        <v>7.6286221170904792E-2</v>
      </c>
      <c r="N781" s="7">
        <f t="shared" si="37"/>
        <v>0.32558139534883723</v>
      </c>
      <c r="O781" s="7">
        <f t="shared" si="38"/>
        <v>2.7463729177861365</v>
      </c>
    </row>
    <row r="782" spans="1:15" x14ac:dyDescent="0.35">
      <c r="A782">
        <v>781</v>
      </c>
      <c r="B782">
        <v>39</v>
      </c>
      <c r="C782" t="s">
        <v>19</v>
      </c>
      <c r="D782" t="s">
        <v>16</v>
      </c>
      <c r="E782" t="s">
        <v>25</v>
      </c>
      <c r="F782" t="s">
        <v>29</v>
      </c>
      <c r="G782">
        <v>1184</v>
      </c>
      <c r="H782">
        <v>95</v>
      </c>
      <c r="I782">
        <v>76</v>
      </c>
      <c r="J782" s="5">
        <v>10184</v>
      </c>
      <c r="K782" s="4">
        <v>435</v>
      </c>
      <c r="L782" s="6">
        <v>45683</v>
      </c>
      <c r="M782" s="7">
        <f t="shared" si="36"/>
        <v>8.0236486486486486E-2</v>
      </c>
      <c r="N782" s="7">
        <f t="shared" si="37"/>
        <v>0.8</v>
      </c>
      <c r="O782" s="7">
        <f t="shared" si="38"/>
        <v>22.411494252873563</v>
      </c>
    </row>
    <row r="783" spans="1:15" x14ac:dyDescent="0.35">
      <c r="A783">
        <v>782</v>
      </c>
      <c r="B783">
        <v>23</v>
      </c>
      <c r="C783" t="s">
        <v>19</v>
      </c>
      <c r="D783" t="s">
        <v>23</v>
      </c>
      <c r="E783" t="s">
        <v>14</v>
      </c>
      <c r="F783" t="s">
        <v>18</v>
      </c>
      <c r="G783">
        <v>2267</v>
      </c>
      <c r="H783">
        <v>134</v>
      </c>
      <c r="I783">
        <v>29</v>
      </c>
      <c r="J783" s="5">
        <v>4176</v>
      </c>
      <c r="K783" s="4">
        <v>1712</v>
      </c>
      <c r="L783" s="6">
        <v>45772</v>
      </c>
      <c r="M783" s="7">
        <f t="shared" si="36"/>
        <v>5.9108954565505072E-2</v>
      </c>
      <c r="N783" s="7">
        <f t="shared" si="37"/>
        <v>0.21641791044776118</v>
      </c>
      <c r="O783" s="7">
        <f t="shared" si="38"/>
        <v>1.4392523364485981</v>
      </c>
    </row>
    <row r="784" spans="1:15" x14ac:dyDescent="0.35">
      <c r="A784">
        <v>783</v>
      </c>
      <c r="B784">
        <v>47</v>
      </c>
      <c r="C784" t="s">
        <v>19</v>
      </c>
      <c r="D784" t="s">
        <v>13</v>
      </c>
      <c r="E784" t="s">
        <v>33</v>
      </c>
      <c r="F784" t="s">
        <v>22</v>
      </c>
      <c r="G784">
        <v>4659</v>
      </c>
      <c r="H784">
        <v>392</v>
      </c>
      <c r="I784">
        <v>47</v>
      </c>
      <c r="J784" s="5">
        <v>8225</v>
      </c>
      <c r="K784" s="4">
        <v>1118</v>
      </c>
      <c r="L784" s="6">
        <v>45744</v>
      </c>
      <c r="M784" s="7">
        <f t="shared" si="36"/>
        <v>8.4138227087357798E-2</v>
      </c>
      <c r="N784" s="7">
        <f t="shared" si="37"/>
        <v>0.11989795918367346</v>
      </c>
      <c r="O784" s="7">
        <f t="shared" si="38"/>
        <v>6.3568872987477638</v>
      </c>
    </row>
    <row r="785" spans="1:15" x14ac:dyDescent="0.35">
      <c r="A785">
        <v>784</v>
      </c>
      <c r="B785">
        <v>40</v>
      </c>
      <c r="C785" t="s">
        <v>12</v>
      </c>
      <c r="D785" t="s">
        <v>23</v>
      </c>
      <c r="E785" t="s">
        <v>33</v>
      </c>
      <c r="F785" t="s">
        <v>22</v>
      </c>
      <c r="G785">
        <v>4034</v>
      </c>
      <c r="H785">
        <v>274</v>
      </c>
      <c r="I785">
        <v>25</v>
      </c>
      <c r="J785" s="5">
        <v>4550</v>
      </c>
      <c r="K785" s="4">
        <v>512</v>
      </c>
      <c r="L785" s="6">
        <v>45745</v>
      </c>
      <c r="M785" s="7">
        <f t="shared" si="36"/>
        <v>6.7922657411998016E-2</v>
      </c>
      <c r="N785" s="7">
        <f t="shared" si="37"/>
        <v>9.1240875912408759E-2</v>
      </c>
      <c r="O785" s="7">
        <f t="shared" si="38"/>
        <v>7.88671875</v>
      </c>
    </row>
    <row r="786" spans="1:15" x14ac:dyDescent="0.35">
      <c r="A786">
        <v>785</v>
      </c>
      <c r="B786">
        <v>44</v>
      </c>
      <c r="C786" t="s">
        <v>12</v>
      </c>
      <c r="D786" t="s">
        <v>13</v>
      </c>
      <c r="E786" t="s">
        <v>28</v>
      </c>
      <c r="F786" t="s">
        <v>29</v>
      </c>
      <c r="G786">
        <v>1181</v>
      </c>
      <c r="H786">
        <v>184</v>
      </c>
      <c r="I786">
        <v>54</v>
      </c>
      <c r="J786" s="5">
        <v>8802</v>
      </c>
      <c r="K786" s="4">
        <v>1655</v>
      </c>
      <c r="L786" s="6">
        <v>45748</v>
      </c>
      <c r="M786" s="7">
        <f t="shared" si="36"/>
        <v>0.15580016934801016</v>
      </c>
      <c r="N786" s="7">
        <f t="shared" si="37"/>
        <v>0.29347826086956524</v>
      </c>
      <c r="O786" s="7">
        <f t="shared" si="38"/>
        <v>4.3184290030211478</v>
      </c>
    </row>
    <row r="787" spans="1:15" x14ac:dyDescent="0.35">
      <c r="A787">
        <v>786</v>
      </c>
      <c r="B787">
        <v>30</v>
      </c>
      <c r="C787" t="s">
        <v>12</v>
      </c>
      <c r="D787" t="s">
        <v>26</v>
      </c>
      <c r="E787" t="s">
        <v>34</v>
      </c>
      <c r="F787" t="s">
        <v>31</v>
      </c>
      <c r="G787">
        <v>4840</v>
      </c>
      <c r="H787">
        <v>158</v>
      </c>
      <c r="I787">
        <v>61</v>
      </c>
      <c r="J787" s="5">
        <v>10309</v>
      </c>
      <c r="K787" s="4">
        <v>732</v>
      </c>
      <c r="L787" s="6">
        <v>45744</v>
      </c>
      <c r="M787" s="7">
        <f t="shared" si="36"/>
        <v>3.2644628099173553E-2</v>
      </c>
      <c r="N787" s="7">
        <f t="shared" si="37"/>
        <v>0.38607594936708861</v>
      </c>
      <c r="O787" s="7">
        <f t="shared" si="38"/>
        <v>13.083333333333334</v>
      </c>
    </row>
    <row r="788" spans="1:15" x14ac:dyDescent="0.35">
      <c r="A788">
        <v>787</v>
      </c>
      <c r="B788">
        <v>19</v>
      </c>
      <c r="C788" t="s">
        <v>19</v>
      </c>
      <c r="D788" t="s">
        <v>26</v>
      </c>
      <c r="E788" t="s">
        <v>30</v>
      </c>
      <c r="F788" t="s">
        <v>31</v>
      </c>
      <c r="G788">
        <v>4231</v>
      </c>
      <c r="H788">
        <v>150</v>
      </c>
      <c r="I788">
        <v>21</v>
      </c>
      <c r="J788" s="5">
        <v>2520</v>
      </c>
      <c r="K788" s="4">
        <v>227</v>
      </c>
      <c r="L788" s="6">
        <v>45715</v>
      </c>
      <c r="M788" s="7">
        <f t="shared" si="36"/>
        <v>3.5452611675726775E-2</v>
      </c>
      <c r="N788" s="7">
        <f t="shared" si="37"/>
        <v>0.14000000000000001</v>
      </c>
      <c r="O788" s="7">
        <f t="shared" si="38"/>
        <v>10.101321585903083</v>
      </c>
    </row>
    <row r="789" spans="1:15" x14ac:dyDescent="0.35">
      <c r="A789">
        <v>788</v>
      </c>
      <c r="B789">
        <v>23</v>
      </c>
      <c r="C789" t="s">
        <v>12</v>
      </c>
      <c r="D789" t="s">
        <v>13</v>
      </c>
      <c r="E789" t="s">
        <v>33</v>
      </c>
      <c r="F789" t="s">
        <v>31</v>
      </c>
      <c r="G789">
        <v>2021</v>
      </c>
      <c r="H789">
        <v>346</v>
      </c>
      <c r="I789">
        <v>10</v>
      </c>
      <c r="J789" s="5">
        <v>1170</v>
      </c>
      <c r="K789" s="4">
        <v>1554</v>
      </c>
      <c r="L789" s="6">
        <v>45697</v>
      </c>
      <c r="M789" s="7">
        <f t="shared" si="36"/>
        <v>0.17120237506185057</v>
      </c>
      <c r="N789" s="7">
        <f t="shared" si="37"/>
        <v>2.8901734104046242E-2</v>
      </c>
      <c r="O789" s="7">
        <f t="shared" si="38"/>
        <v>-0.24710424710424711</v>
      </c>
    </row>
    <row r="790" spans="1:15" x14ac:dyDescent="0.35">
      <c r="A790">
        <v>789</v>
      </c>
      <c r="B790">
        <v>41</v>
      </c>
      <c r="C790" t="s">
        <v>19</v>
      </c>
      <c r="D790" t="s">
        <v>16</v>
      </c>
      <c r="E790" t="s">
        <v>24</v>
      </c>
      <c r="F790" t="s">
        <v>31</v>
      </c>
      <c r="G790">
        <v>1878</v>
      </c>
      <c r="H790">
        <v>274</v>
      </c>
      <c r="I790">
        <v>28</v>
      </c>
      <c r="J790" s="5">
        <v>2716</v>
      </c>
      <c r="K790" s="4">
        <v>1754</v>
      </c>
      <c r="L790" s="6">
        <v>45719</v>
      </c>
      <c r="M790" s="7">
        <f t="shared" si="36"/>
        <v>0.14589989350372737</v>
      </c>
      <c r="N790" s="7">
        <f t="shared" si="37"/>
        <v>0.10218978102189781</v>
      </c>
      <c r="O790" s="7">
        <f t="shared" si="38"/>
        <v>0.54846066134549598</v>
      </c>
    </row>
    <row r="791" spans="1:15" x14ac:dyDescent="0.35">
      <c r="A791">
        <v>790</v>
      </c>
      <c r="B791">
        <v>51</v>
      </c>
      <c r="C791" t="s">
        <v>19</v>
      </c>
      <c r="D791" t="s">
        <v>23</v>
      </c>
      <c r="E791" t="s">
        <v>30</v>
      </c>
      <c r="F791" t="s">
        <v>29</v>
      </c>
      <c r="G791">
        <v>2548</v>
      </c>
      <c r="H791">
        <v>202</v>
      </c>
      <c r="I791">
        <v>49</v>
      </c>
      <c r="J791" s="5">
        <v>9114</v>
      </c>
      <c r="K791" s="4">
        <v>707</v>
      </c>
      <c r="L791" s="6">
        <v>45673</v>
      </c>
      <c r="M791" s="7">
        <f t="shared" si="36"/>
        <v>7.9277864992150712E-2</v>
      </c>
      <c r="N791" s="7">
        <f t="shared" si="37"/>
        <v>0.24257425742574257</v>
      </c>
      <c r="O791" s="7">
        <f t="shared" si="38"/>
        <v>11.891089108910892</v>
      </c>
    </row>
    <row r="792" spans="1:15" x14ac:dyDescent="0.35">
      <c r="A792">
        <v>791</v>
      </c>
      <c r="B792">
        <v>33</v>
      </c>
      <c r="C792" t="s">
        <v>12</v>
      </c>
      <c r="D792" t="s">
        <v>20</v>
      </c>
      <c r="E792" t="s">
        <v>28</v>
      </c>
      <c r="F792" t="s">
        <v>29</v>
      </c>
      <c r="G792">
        <v>2261</v>
      </c>
      <c r="H792">
        <v>270</v>
      </c>
      <c r="I792">
        <v>23</v>
      </c>
      <c r="J792" s="5">
        <v>2392</v>
      </c>
      <c r="K792" s="4">
        <v>922</v>
      </c>
      <c r="L792" s="6">
        <v>45772</v>
      </c>
      <c r="M792" s="7">
        <f t="shared" si="36"/>
        <v>0.11941618752764263</v>
      </c>
      <c r="N792" s="7">
        <f t="shared" si="37"/>
        <v>8.5185185185185183E-2</v>
      </c>
      <c r="O792" s="7">
        <f t="shared" si="38"/>
        <v>1.594360086767896</v>
      </c>
    </row>
    <row r="793" spans="1:15" x14ac:dyDescent="0.35">
      <c r="A793">
        <v>792</v>
      </c>
      <c r="B793">
        <v>33</v>
      </c>
      <c r="C793" t="s">
        <v>12</v>
      </c>
      <c r="D793" t="s">
        <v>26</v>
      </c>
      <c r="E793" t="s">
        <v>17</v>
      </c>
      <c r="F793" t="s">
        <v>29</v>
      </c>
      <c r="G793">
        <v>3388</v>
      </c>
      <c r="H793">
        <v>178</v>
      </c>
      <c r="I793">
        <v>46</v>
      </c>
      <c r="J793" s="5">
        <v>5198</v>
      </c>
      <c r="K793" s="4">
        <v>680</v>
      </c>
      <c r="L793" s="6">
        <v>45712</v>
      </c>
      <c r="M793" s="7">
        <f t="shared" si="36"/>
        <v>5.2538370720188902E-2</v>
      </c>
      <c r="N793" s="7">
        <f t="shared" si="37"/>
        <v>0.25842696629213485</v>
      </c>
      <c r="O793" s="7">
        <f t="shared" si="38"/>
        <v>6.6441176470588239</v>
      </c>
    </row>
    <row r="794" spans="1:15" x14ac:dyDescent="0.35">
      <c r="A794">
        <v>793</v>
      </c>
      <c r="B794">
        <v>23</v>
      </c>
      <c r="C794" t="s">
        <v>19</v>
      </c>
      <c r="D794" t="s">
        <v>20</v>
      </c>
      <c r="E794" t="s">
        <v>30</v>
      </c>
      <c r="F794" t="s">
        <v>15</v>
      </c>
      <c r="G794">
        <v>844</v>
      </c>
      <c r="H794">
        <v>430</v>
      </c>
      <c r="I794">
        <v>49</v>
      </c>
      <c r="J794" s="5">
        <v>4900</v>
      </c>
      <c r="K794" s="4">
        <v>1869</v>
      </c>
      <c r="L794" s="6">
        <v>45705</v>
      </c>
      <c r="M794" s="7">
        <f t="shared" si="36"/>
        <v>0.50947867298578198</v>
      </c>
      <c r="N794" s="7">
        <f t="shared" si="37"/>
        <v>0.11395348837209303</v>
      </c>
      <c r="O794" s="7">
        <f t="shared" si="38"/>
        <v>1.6217228464419475</v>
      </c>
    </row>
    <row r="795" spans="1:15" x14ac:dyDescent="0.35">
      <c r="A795">
        <v>794</v>
      </c>
      <c r="B795">
        <v>47</v>
      </c>
      <c r="C795" t="s">
        <v>19</v>
      </c>
      <c r="D795" t="s">
        <v>26</v>
      </c>
      <c r="E795" t="s">
        <v>30</v>
      </c>
      <c r="F795" t="s">
        <v>15</v>
      </c>
      <c r="G795">
        <v>2014</v>
      </c>
      <c r="H795">
        <v>88</v>
      </c>
      <c r="I795">
        <v>35</v>
      </c>
      <c r="J795" s="5">
        <v>3115</v>
      </c>
      <c r="K795" s="4">
        <v>1201</v>
      </c>
      <c r="L795" s="6">
        <v>45773</v>
      </c>
      <c r="M795" s="7">
        <f t="shared" si="36"/>
        <v>4.3694141012909631E-2</v>
      </c>
      <c r="N795" s="7">
        <f t="shared" si="37"/>
        <v>0.39772727272727271</v>
      </c>
      <c r="O795" s="7">
        <f t="shared" si="38"/>
        <v>1.5936719400499584</v>
      </c>
    </row>
    <row r="796" spans="1:15" x14ac:dyDescent="0.35">
      <c r="A796">
        <v>795</v>
      </c>
      <c r="B796">
        <v>21</v>
      </c>
      <c r="C796" t="s">
        <v>19</v>
      </c>
      <c r="D796" t="s">
        <v>23</v>
      </c>
      <c r="E796" t="s">
        <v>17</v>
      </c>
      <c r="F796" t="s">
        <v>15</v>
      </c>
      <c r="G796">
        <v>773</v>
      </c>
      <c r="H796">
        <v>493</v>
      </c>
      <c r="I796">
        <v>77</v>
      </c>
      <c r="J796" s="5">
        <v>7238</v>
      </c>
      <c r="K796" s="4">
        <v>678</v>
      </c>
      <c r="L796" s="6">
        <v>45666</v>
      </c>
      <c r="M796" s="7">
        <f t="shared" si="36"/>
        <v>0.63777490297542039</v>
      </c>
      <c r="N796" s="7">
        <f t="shared" si="37"/>
        <v>0.15618661257606492</v>
      </c>
      <c r="O796" s="7">
        <f t="shared" si="38"/>
        <v>9.6755162241887902</v>
      </c>
    </row>
    <row r="797" spans="1:15" x14ac:dyDescent="0.35">
      <c r="A797">
        <v>796</v>
      </c>
      <c r="B797">
        <v>33</v>
      </c>
      <c r="C797" t="s">
        <v>12</v>
      </c>
      <c r="D797" t="s">
        <v>26</v>
      </c>
      <c r="E797" t="s">
        <v>24</v>
      </c>
      <c r="F797" t="s">
        <v>31</v>
      </c>
      <c r="G797">
        <v>3168</v>
      </c>
      <c r="H797">
        <v>186</v>
      </c>
      <c r="I797">
        <v>30</v>
      </c>
      <c r="J797" s="5">
        <v>4800</v>
      </c>
      <c r="K797" s="4">
        <v>1611</v>
      </c>
      <c r="L797" s="6">
        <v>45709</v>
      </c>
      <c r="M797" s="7">
        <f t="shared" si="36"/>
        <v>5.8712121212121215E-2</v>
      </c>
      <c r="N797" s="7">
        <f t="shared" si="37"/>
        <v>0.16129032258064516</v>
      </c>
      <c r="O797" s="7">
        <f t="shared" si="38"/>
        <v>1.9795158286778398</v>
      </c>
    </row>
    <row r="798" spans="1:15" x14ac:dyDescent="0.35">
      <c r="A798">
        <v>797</v>
      </c>
      <c r="B798">
        <v>46</v>
      </c>
      <c r="C798" t="s">
        <v>12</v>
      </c>
      <c r="D798" t="s">
        <v>23</v>
      </c>
      <c r="E798" t="s">
        <v>32</v>
      </c>
      <c r="F798" t="s">
        <v>31</v>
      </c>
      <c r="G798">
        <v>3832</v>
      </c>
      <c r="H798">
        <v>325</v>
      </c>
      <c r="I798">
        <v>22</v>
      </c>
      <c r="J798" s="5">
        <v>1782</v>
      </c>
      <c r="K798" s="4">
        <v>822</v>
      </c>
      <c r="L798" s="6">
        <v>45699</v>
      </c>
      <c r="M798" s="7">
        <f t="shared" si="36"/>
        <v>8.4812108559498958E-2</v>
      </c>
      <c r="N798" s="7">
        <f t="shared" si="37"/>
        <v>6.7692307692307691E-2</v>
      </c>
      <c r="O798" s="7">
        <f t="shared" si="38"/>
        <v>1.167883211678832</v>
      </c>
    </row>
    <row r="799" spans="1:15" x14ac:dyDescent="0.35">
      <c r="A799">
        <v>798</v>
      </c>
      <c r="B799">
        <v>26</v>
      </c>
      <c r="C799" t="s">
        <v>19</v>
      </c>
      <c r="D799" t="s">
        <v>13</v>
      </c>
      <c r="E799" t="s">
        <v>25</v>
      </c>
      <c r="F799" t="s">
        <v>15</v>
      </c>
      <c r="G799">
        <v>3760</v>
      </c>
      <c r="H799">
        <v>144</v>
      </c>
      <c r="I799">
        <v>12</v>
      </c>
      <c r="J799" s="5">
        <v>2292</v>
      </c>
      <c r="K799" s="4">
        <v>266</v>
      </c>
      <c r="L799" s="6">
        <v>45668</v>
      </c>
      <c r="M799" s="7">
        <f t="shared" si="36"/>
        <v>3.8297872340425532E-2</v>
      </c>
      <c r="N799" s="7">
        <f t="shared" si="37"/>
        <v>8.3333333333333329E-2</v>
      </c>
      <c r="O799" s="7">
        <f t="shared" si="38"/>
        <v>7.6165413533834583</v>
      </c>
    </row>
    <row r="800" spans="1:15" x14ac:dyDescent="0.35">
      <c r="A800">
        <v>799</v>
      </c>
      <c r="B800">
        <v>30</v>
      </c>
      <c r="C800" t="s">
        <v>19</v>
      </c>
      <c r="D800" t="s">
        <v>20</v>
      </c>
      <c r="E800" t="s">
        <v>25</v>
      </c>
      <c r="F800" t="s">
        <v>31</v>
      </c>
      <c r="G800">
        <v>3032</v>
      </c>
      <c r="H800">
        <v>347</v>
      </c>
      <c r="I800">
        <v>17</v>
      </c>
      <c r="J800" s="5">
        <v>3383</v>
      </c>
      <c r="K800" s="4">
        <v>1387</v>
      </c>
      <c r="L800" s="6">
        <v>45731</v>
      </c>
      <c r="M800" s="7">
        <f t="shared" si="36"/>
        <v>0.11444591029023747</v>
      </c>
      <c r="N800" s="7">
        <f t="shared" si="37"/>
        <v>4.8991354466858789E-2</v>
      </c>
      <c r="O800" s="7">
        <f t="shared" si="38"/>
        <v>1.4390771449170872</v>
      </c>
    </row>
    <row r="801" spans="1:15" x14ac:dyDescent="0.35">
      <c r="A801">
        <v>800</v>
      </c>
      <c r="B801">
        <v>40</v>
      </c>
      <c r="C801" t="s">
        <v>19</v>
      </c>
      <c r="D801" t="s">
        <v>23</v>
      </c>
      <c r="E801" t="s">
        <v>14</v>
      </c>
      <c r="F801" t="s">
        <v>18</v>
      </c>
      <c r="G801">
        <v>4587</v>
      </c>
      <c r="H801">
        <v>122</v>
      </c>
      <c r="I801">
        <v>56</v>
      </c>
      <c r="J801" s="5">
        <v>4536</v>
      </c>
      <c r="K801" s="4">
        <v>398</v>
      </c>
      <c r="L801" s="6">
        <v>45697</v>
      </c>
      <c r="M801" s="7">
        <f t="shared" si="36"/>
        <v>2.659690429474602E-2</v>
      </c>
      <c r="N801" s="7">
        <f t="shared" si="37"/>
        <v>0.45901639344262296</v>
      </c>
      <c r="O801" s="7">
        <f t="shared" si="38"/>
        <v>10.396984924623116</v>
      </c>
    </row>
    <row r="802" spans="1:15" x14ac:dyDescent="0.35">
      <c r="A802">
        <v>801</v>
      </c>
      <c r="B802">
        <v>43</v>
      </c>
      <c r="C802" t="s">
        <v>12</v>
      </c>
      <c r="D802" t="s">
        <v>27</v>
      </c>
      <c r="E802" t="s">
        <v>24</v>
      </c>
      <c r="F802" t="s">
        <v>22</v>
      </c>
      <c r="G802">
        <v>2355</v>
      </c>
      <c r="H802">
        <v>390</v>
      </c>
      <c r="I802">
        <v>27</v>
      </c>
      <c r="J802" s="5">
        <v>4239</v>
      </c>
      <c r="K802" s="4">
        <v>1892</v>
      </c>
      <c r="L802" s="6">
        <v>45726</v>
      </c>
      <c r="M802" s="7">
        <f t="shared" si="36"/>
        <v>0.16560509554140126</v>
      </c>
      <c r="N802" s="7">
        <f t="shared" si="37"/>
        <v>6.9230769230769235E-2</v>
      </c>
      <c r="O802" s="7">
        <f t="shared" si="38"/>
        <v>1.2404862579281184</v>
      </c>
    </row>
    <row r="803" spans="1:15" x14ac:dyDescent="0.35">
      <c r="A803">
        <v>802</v>
      </c>
      <c r="B803">
        <v>34</v>
      </c>
      <c r="C803" t="s">
        <v>19</v>
      </c>
      <c r="D803" t="s">
        <v>16</v>
      </c>
      <c r="E803" t="s">
        <v>33</v>
      </c>
      <c r="F803" t="s">
        <v>29</v>
      </c>
      <c r="G803">
        <v>4586</v>
      </c>
      <c r="H803">
        <v>272</v>
      </c>
      <c r="I803">
        <v>35</v>
      </c>
      <c r="J803" s="5">
        <v>3465</v>
      </c>
      <c r="K803" s="4">
        <v>1657</v>
      </c>
      <c r="L803" s="6">
        <v>45682</v>
      </c>
      <c r="M803" s="7">
        <f t="shared" si="36"/>
        <v>5.9310946358482337E-2</v>
      </c>
      <c r="N803" s="7">
        <f t="shared" si="37"/>
        <v>0.12867647058823528</v>
      </c>
      <c r="O803" s="7">
        <f t="shared" si="38"/>
        <v>1.0911285455642727</v>
      </c>
    </row>
    <row r="804" spans="1:15" x14ac:dyDescent="0.35">
      <c r="A804">
        <v>803</v>
      </c>
      <c r="B804">
        <v>52</v>
      </c>
      <c r="C804" t="s">
        <v>12</v>
      </c>
      <c r="D804" t="s">
        <v>23</v>
      </c>
      <c r="E804" t="s">
        <v>33</v>
      </c>
      <c r="F804" t="s">
        <v>15</v>
      </c>
      <c r="G804">
        <v>3584</v>
      </c>
      <c r="H804">
        <v>171</v>
      </c>
      <c r="I804">
        <v>74</v>
      </c>
      <c r="J804" s="5">
        <v>10138</v>
      </c>
      <c r="K804" s="4">
        <v>1930</v>
      </c>
      <c r="L804" s="6">
        <v>45732</v>
      </c>
      <c r="M804" s="7">
        <f t="shared" si="36"/>
        <v>4.7712053571428568E-2</v>
      </c>
      <c r="N804" s="7">
        <f t="shared" si="37"/>
        <v>0.43274853801169588</v>
      </c>
      <c r="O804" s="7">
        <f t="shared" si="38"/>
        <v>4.2528497409326427</v>
      </c>
    </row>
    <row r="805" spans="1:15" x14ac:dyDescent="0.35">
      <c r="A805">
        <v>804</v>
      </c>
      <c r="B805">
        <v>39</v>
      </c>
      <c r="C805" t="s">
        <v>12</v>
      </c>
      <c r="D805" t="s">
        <v>20</v>
      </c>
      <c r="E805" t="s">
        <v>24</v>
      </c>
      <c r="F805" t="s">
        <v>29</v>
      </c>
      <c r="G805">
        <v>3433</v>
      </c>
      <c r="H805">
        <v>389</v>
      </c>
      <c r="I805">
        <v>68</v>
      </c>
      <c r="J805" s="5">
        <v>11016</v>
      </c>
      <c r="K805" s="4">
        <v>524</v>
      </c>
      <c r="L805" s="6">
        <v>45768</v>
      </c>
      <c r="M805" s="7">
        <f t="shared" si="36"/>
        <v>0.11331197203612001</v>
      </c>
      <c r="N805" s="7">
        <f t="shared" si="37"/>
        <v>0.17480719794344474</v>
      </c>
      <c r="O805" s="7">
        <f t="shared" si="38"/>
        <v>20.022900763358777</v>
      </c>
    </row>
    <row r="806" spans="1:15" x14ac:dyDescent="0.35">
      <c r="A806">
        <v>805</v>
      </c>
      <c r="B806">
        <v>52</v>
      </c>
      <c r="C806" t="s">
        <v>19</v>
      </c>
      <c r="D806" t="s">
        <v>16</v>
      </c>
      <c r="E806" t="s">
        <v>14</v>
      </c>
      <c r="F806" t="s">
        <v>31</v>
      </c>
      <c r="G806">
        <v>3889</v>
      </c>
      <c r="H806">
        <v>193</v>
      </c>
      <c r="I806">
        <v>72</v>
      </c>
      <c r="J806" s="5">
        <v>12096</v>
      </c>
      <c r="K806" s="4">
        <v>1238</v>
      </c>
      <c r="L806" s="6">
        <v>45671</v>
      </c>
      <c r="M806" s="7">
        <f t="shared" si="36"/>
        <v>4.962715350989972E-2</v>
      </c>
      <c r="N806" s="7">
        <f t="shared" si="37"/>
        <v>0.37305699481865284</v>
      </c>
      <c r="O806" s="7">
        <f t="shared" si="38"/>
        <v>8.7705977382875613</v>
      </c>
    </row>
    <row r="807" spans="1:15" x14ac:dyDescent="0.35">
      <c r="A807">
        <v>806</v>
      </c>
      <c r="B807">
        <v>42</v>
      </c>
      <c r="C807" t="s">
        <v>12</v>
      </c>
      <c r="D807" t="s">
        <v>16</v>
      </c>
      <c r="E807" t="s">
        <v>28</v>
      </c>
      <c r="F807" t="s">
        <v>15</v>
      </c>
      <c r="G807">
        <v>3417</v>
      </c>
      <c r="H807">
        <v>149</v>
      </c>
      <c r="I807">
        <v>11</v>
      </c>
      <c r="J807" s="5">
        <v>1782</v>
      </c>
      <c r="K807" s="4">
        <v>1765</v>
      </c>
      <c r="L807" s="6">
        <v>45761</v>
      </c>
      <c r="M807" s="7">
        <f t="shared" si="36"/>
        <v>4.3605501902253437E-2</v>
      </c>
      <c r="N807" s="7">
        <f t="shared" si="37"/>
        <v>7.3825503355704702E-2</v>
      </c>
      <c r="O807" s="7">
        <f t="shared" si="38"/>
        <v>9.6317280453257787E-3</v>
      </c>
    </row>
    <row r="808" spans="1:15" x14ac:dyDescent="0.35">
      <c r="A808">
        <v>807</v>
      </c>
      <c r="B808">
        <v>30</v>
      </c>
      <c r="C808" t="s">
        <v>19</v>
      </c>
      <c r="D808" t="s">
        <v>27</v>
      </c>
      <c r="E808" t="s">
        <v>14</v>
      </c>
      <c r="F808" t="s">
        <v>22</v>
      </c>
      <c r="G808">
        <v>4155</v>
      </c>
      <c r="H808">
        <v>259</v>
      </c>
      <c r="I808">
        <v>46</v>
      </c>
      <c r="J808" s="5">
        <v>6532</v>
      </c>
      <c r="K808" s="4">
        <v>1496</v>
      </c>
      <c r="L808" s="6">
        <v>45684</v>
      </c>
      <c r="M808" s="7">
        <f t="shared" si="36"/>
        <v>6.233453670276775E-2</v>
      </c>
      <c r="N808" s="7">
        <f t="shared" si="37"/>
        <v>0.17760617760617761</v>
      </c>
      <c r="O808" s="7">
        <f t="shared" si="38"/>
        <v>3.3663101604278074</v>
      </c>
    </row>
    <row r="809" spans="1:15" x14ac:dyDescent="0.35">
      <c r="A809">
        <v>808</v>
      </c>
      <c r="B809">
        <v>35</v>
      </c>
      <c r="C809" t="s">
        <v>12</v>
      </c>
      <c r="D809" t="s">
        <v>23</v>
      </c>
      <c r="E809" t="s">
        <v>14</v>
      </c>
      <c r="F809" t="s">
        <v>29</v>
      </c>
      <c r="G809">
        <v>3093</v>
      </c>
      <c r="H809">
        <v>85</v>
      </c>
      <c r="I809">
        <v>29</v>
      </c>
      <c r="J809" s="5">
        <v>2987</v>
      </c>
      <c r="K809" s="4">
        <v>717</v>
      </c>
      <c r="L809" s="6">
        <v>45663</v>
      </c>
      <c r="M809" s="7">
        <f t="shared" si="36"/>
        <v>2.7481409634658907E-2</v>
      </c>
      <c r="N809" s="7">
        <f t="shared" si="37"/>
        <v>0.3411764705882353</v>
      </c>
      <c r="O809" s="7">
        <f t="shared" si="38"/>
        <v>3.1659693165969318</v>
      </c>
    </row>
    <row r="810" spans="1:15" x14ac:dyDescent="0.35">
      <c r="A810">
        <v>809</v>
      </c>
      <c r="B810">
        <v>28</v>
      </c>
      <c r="C810" t="s">
        <v>19</v>
      </c>
      <c r="D810" t="s">
        <v>23</v>
      </c>
      <c r="E810" t="s">
        <v>21</v>
      </c>
      <c r="F810" t="s">
        <v>31</v>
      </c>
      <c r="G810">
        <v>3697</v>
      </c>
      <c r="H810">
        <v>458</v>
      </c>
      <c r="I810">
        <v>59</v>
      </c>
      <c r="J810" s="5">
        <v>6077</v>
      </c>
      <c r="K810" s="4">
        <v>885</v>
      </c>
      <c r="L810" s="6">
        <v>45772</v>
      </c>
      <c r="M810" s="7">
        <f t="shared" si="36"/>
        <v>0.1238842304571274</v>
      </c>
      <c r="N810" s="7">
        <f t="shared" si="37"/>
        <v>0.12882096069868995</v>
      </c>
      <c r="O810" s="7">
        <f t="shared" si="38"/>
        <v>5.8666666666666663</v>
      </c>
    </row>
    <row r="811" spans="1:15" x14ac:dyDescent="0.35">
      <c r="A811">
        <v>810</v>
      </c>
      <c r="B811">
        <v>31</v>
      </c>
      <c r="C811" t="s">
        <v>19</v>
      </c>
      <c r="D811" t="s">
        <v>23</v>
      </c>
      <c r="E811" t="s">
        <v>24</v>
      </c>
      <c r="F811" t="s">
        <v>31</v>
      </c>
      <c r="G811">
        <v>4053</v>
      </c>
      <c r="H811">
        <v>333</v>
      </c>
      <c r="I811">
        <v>7</v>
      </c>
      <c r="J811" s="5">
        <v>819</v>
      </c>
      <c r="K811" s="4">
        <v>1298</v>
      </c>
      <c r="L811" s="6">
        <v>45747</v>
      </c>
      <c r="M811" s="7">
        <f t="shared" si="36"/>
        <v>8.2161361954108073E-2</v>
      </c>
      <c r="N811" s="7">
        <f t="shared" si="37"/>
        <v>2.1021021021021023E-2</v>
      </c>
      <c r="O811" s="7">
        <f t="shared" si="38"/>
        <v>-0.36902927580893685</v>
      </c>
    </row>
    <row r="812" spans="1:15" x14ac:dyDescent="0.35">
      <c r="A812">
        <v>811</v>
      </c>
      <c r="B812">
        <v>47</v>
      </c>
      <c r="C812" t="s">
        <v>19</v>
      </c>
      <c r="D812" t="s">
        <v>23</v>
      </c>
      <c r="E812" t="s">
        <v>17</v>
      </c>
      <c r="F812" t="s">
        <v>18</v>
      </c>
      <c r="G812">
        <v>1187</v>
      </c>
      <c r="H812">
        <v>70</v>
      </c>
      <c r="I812">
        <v>58</v>
      </c>
      <c r="J812" s="5">
        <v>10556</v>
      </c>
      <c r="K812" s="4">
        <v>1407</v>
      </c>
      <c r="L812" s="6">
        <v>45708</v>
      </c>
      <c r="M812" s="7">
        <f t="shared" si="36"/>
        <v>5.8972198820556022E-2</v>
      </c>
      <c r="N812" s="7">
        <f t="shared" si="37"/>
        <v>0.82857142857142863</v>
      </c>
      <c r="O812" s="7">
        <f t="shared" si="38"/>
        <v>6.5024875621890548</v>
      </c>
    </row>
    <row r="813" spans="1:15" x14ac:dyDescent="0.35">
      <c r="A813">
        <v>812</v>
      </c>
      <c r="B813">
        <v>18</v>
      </c>
      <c r="C813" t="s">
        <v>12</v>
      </c>
      <c r="D813" t="s">
        <v>20</v>
      </c>
      <c r="E813" t="s">
        <v>17</v>
      </c>
      <c r="F813" t="s">
        <v>31</v>
      </c>
      <c r="G813">
        <v>2311</v>
      </c>
      <c r="H813">
        <v>161</v>
      </c>
      <c r="I813">
        <v>63</v>
      </c>
      <c r="J813" s="5">
        <v>5544</v>
      </c>
      <c r="K813" s="4">
        <v>1550</v>
      </c>
      <c r="L813" s="6">
        <v>45713</v>
      </c>
      <c r="M813" s="7">
        <f t="shared" si="36"/>
        <v>6.9666810904370408E-2</v>
      </c>
      <c r="N813" s="7">
        <f t="shared" si="37"/>
        <v>0.39130434782608697</v>
      </c>
      <c r="O813" s="7">
        <f t="shared" si="38"/>
        <v>2.576774193548387</v>
      </c>
    </row>
    <row r="814" spans="1:15" x14ac:dyDescent="0.35">
      <c r="A814">
        <v>813</v>
      </c>
      <c r="B814">
        <v>24</v>
      </c>
      <c r="C814" t="s">
        <v>12</v>
      </c>
      <c r="D814" t="s">
        <v>26</v>
      </c>
      <c r="E814" t="s">
        <v>34</v>
      </c>
      <c r="F814" t="s">
        <v>22</v>
      </c>
      <c r="G814">
        <v>3606</v>
      </c>
      <c r="H814">
        <v>428</v>
      </c>
      <c r="I814">
        <v>7</v>
      </c>
      <c r="J814" s="5">
        <v>1316</v>
      </c>
      <c r="K814" s="4">
        <v>1981</v>
      </c>
      <c r="L814" s="6">
        <v>45748</v>
      </c>
      <c r="M814" s="7">
        <f t="shared" si="36"/>
        <v>0.11869107043815863</v>
      </c>
      <c r="N814" s="7">
        <f t="shared" si="37"/>
        <v>1.6355140186915886E-2</v>
      </c>
      <c r="O814" s="7">
        <f t="shared" si="38"/>
        <v>-0.33568904593639576</v>
      </c>
    </row>
    <row r="815" spans="1:15" x14ac:dyDescent="0.35">
      <c r="A815">
        <v>814</v>
      </c>
      <c r="B815">
        <v>28</v>
      </c>
      <c r="C815" t="s">
        <v>19</v>
      </c>
      <c r="D815" t="s">
        <v>20</v>
      </c>
      <c r="E815" t="s">
        <v>21</v>
      </c>
      <c r="F815" t="s">
        <v>18</v>
      </c>
      <c r="G815">
        <v>963</v>
      </c>
      <c r="H815">
        <v>279</v>
      </c>
      <c r="I815">
        <v>75</v>
      </c>
      <c r="J815" s="5">
        <v>12450</v>
      </c>
      <c r="K815" s="4">
        <v>371</v>
      </c>
      <c r="L815" s="6">
        <v>45774</v>
      </c>
      <c r="M815" s="7">
        <f t="shared" si="36"/>
        <v>0.28971962616822428</v>
      </c>
      <c r="N815" s="7">
        <f t="shared" si="37"/>
        <v>0.26881720430107525</v>
      </c>
      <c r="O815" s="7">
        <f t="shared" si="38"/>
        <v>32.557951482479787</v>
      </c>
    </row>
    <row r="816" spans="1:15" x14ac:dyDescent="0.35">
      <c r="A816">
        <v>815</v>
      </c>
      <c r="B816">
        <v>52</v>
      </c>
      <c r="C816" t="s">
        <v>19</v>
      </c>
      <c r="D816" t="s">
        <v>23</v>
      </c>
      <c r="E816" t="s">
        <v>25</v>
      </c>
      <c r="F816" t="s">
        <v>22</v>
      </c>
      <c r="G816">
        <v>1189</v>
      </c>
      <c r="H816">
        <v>112</v>
      </c>
      <c r="I816">
        <v>41</v>
      </c>
      <c r="J816" s="5">
        <v>6560</v>
      </c>
      <c r="K816" s="4">
        <v>1922</v>
      </c>
      <c r="L816" s="6">
        <v>45705</v>
      </c>
      <c r="M816" s="7">
        <f t="shared" si="36"/>
        <v>9.4196804037005893E-2</v>
      </c>
      <c r="N816" s="7">
        <f t="shared" si="37"/>
        <v>0.36607142857142855</v>
      </c>
      <c r="O816" s="7">
        <f t="shared" si="38"/>
        <v>2.413111342351717</v>
      </c>
    </row>
    <row r="817" spans="1:15" x14ac:dyDescent="0.35">
      <c r="A817">
        <v>816</v>
      </c>
      <c r="B817">
        <v>31</v>
      </c>
      <c r="C817" t="s">
        <v>19</v>
      </c>
      <c r="D817" t="s">
        <v>20</v>
      </c>
      <c r="E817" t="s">
        <v>34</v>
      </c>
      <c r="F817" t="s">
        <v>31</v>
      </c>
      <c r="G817">
        <v>871</v>
      </c>
      <c r="H817">
        <v>224</v>
      </c>
      <c r="I817">
        <v>66</v>
      </c>
      <c r="J817" s="5">
        <v>12870</v>
      </c>
      <c r="K817" s="4">
        <v>810</v>
      </c>
      <c r="L817" s="6">
        <v>45681</v>
      </c>
      <c r="M817" s="7">
        <f t="shared" si="36"/>
        <v>0.25717566016073479</v>
      </c>
      <c r="N817" s="7">
        <f t="shared" si="37"/>
        <v>0.29464285714285715</v>
      </c>
      <c r="O817" s="7">
        <f t="shared" si="38"/>
        <v>14.888888888888889</v>
      </c>
    </row>
    <row r="818" spans="1:15" x14ac:dyDescent="0.35">
      <c r="A818">
        <v>817</v>
      </c>
      <c r="B818">
        <v>32</v>
      </c>
      <c r="C818" t="s">
        <v>12</v>
      </c>
      <c r="D818" t="s">
        <v>26</v>
      </c>
      <c r="E818" t="s">
        <v>28</v>
      </c>
      <c r="F818" t="s">
        <v>31</v>
      </c>
      <c r="G818">
        <v>4199</v>
      </c>
      <c r="H818">
        <v>200</v>
      </c>
      <c r="I818">
        <v>54</v>
      </c>
      <c r="J818" s="5">
        <v>8478</v>
      </c>
      <c r="K818" s="4">
        <v>1725</v>
      </c>
      <c r="L818" s="6">
        <v>45684</v>
      </c>
      <c r="M818" s="7">
        <f t="shared" si="36"/>
        <v>4.7630388187663728E-2</v>
      </c>
      <c r="N818" s="7">
        <f t="shared" si="37"/>
        <v>0.27</v>
      </c>
      <c r="O818" s="7">
        <f t="shared" si="38"/>
        <v>3.9147826086956523</v>
      </c>
    </row>
    <row r="819" spans="1:15" x14ac:dyDescent="0.35">
      <c r="A819">
        <v>818</v>
      </c>
      <c r="B819">
        <v>30</v>
      </c>
      <c r="C819" t="s">
        <v>12</v>
      </c>
      <c r="D819" t="s">
        <v>26</v>
      </c>
      <c r="E819" t="s">
        <v>30</v>
      </c>
      <c r="F819" t="s">
        <v>22</v>
      </c>
      <c r="G819">
        <v>2794</v>
      </c>
      <c r="H819">
        <v>313</v>
      </c>
      <c r="I819">
        <v>7</v>
      </c>
      <c r="J819" s="5">
        <v>882</v>
      </c>
      <c r="K819" s="4">
        <v>901</v>
      </c>
      <c r="L819" s="6">
        <v>45755</v>
      </c>
      <c r="M819" s="7">
        <f t="shared" si="36"/>
        <v>0.11202576950608446</v>
      </c>
      <c r="N819" s="7">
        <f t="shared" si="37"/>
        <v>2.2364217252396165E-2</v>
      </c>
      <c r="O819" s="7">
        <f t="shared" si="38"/>
        <v>-2.1087680355160933E-2</v>
      </c>
    </row>
    <row r="820" spans="1:15" x14ac:dyDescent="0.35">
      <c r="A820">
        <v>819</v>
      </c>
      <c r="B820">
        <v>30</v>
      </c>
      <c r="C820" t="s">
        <v>12</v>
      </c>
      <c r="D820" t="s">
        <v>23</v>
      </c>
      <c r="E820" t="s">
        <v>34</v>
      </c>
      <c r="F820" t="s">
        <v>15</v>
      </c>
      <c r="G820">
        <v>1483</v>
      </c>
      <c r="H820">
        <v>401</v>
      </c>
      <c r="I820">
        <v>65</v>
      </c>
      <c r="J820" s="5">
        <v>11245</v>
      </c>
      <c r="K820" s="4">
        <v>1479</v>
      </c>
      <c r="L820" s="6">
        <v>45691</v>
      </c>
      <c r="M820" s="7">
        <f t="shared" si="36"/>
        <v>0.27039784221173296</v>
      </c>
      <c r="N820" s="7">
        <f t="shared" si="37"/>
        <v>0.16209476309226933</v>
      </c>
      <c r="O820" s="7">
        <f t="shared" si="38"/>
        <v>6.6031102096010814</v>
      </c>
    </row>
    <row r="821" spans="1:15" x14ac:dyDescent="0.35">
      <c r="A821">
        <v>820</v>
      </c>
      <c r="B821">
        <v>48</v>
      </c>
      <c r="C821" t="s">
        <v>12</v>
      </c>
      <c r="D821" t="s">
        <v>27</v>
      </c>
      <c r="E821" t="s">
        <v>30</v>
      </c>
      <c r="F821" t="s">
        <v>29</v>
      </c>
      <c r="G821">
        <v>4674</v>
      </c>
      <c r="H821">
        <v>285</v>
      </c>
      <c r="I821">
        <v>75</v>
      </c>
      <c r="J821" s="5">
        <v>14850</v>
      </c>
      <c r="K821" s="4">
        <v>1700</v>
      </c>
      <c r="L821" s="6">
        <v>45695</v>
      </c>
      <c r="M821" s="7">
        <f t="shared" si="36"/>
        <v>6.097560975609756E-2</v>
      </c>
      <c r="N821" s="7">
        <f t="shared" si="37"/>
        <v>0.26315789473684209</v>
      </c>
      <c r="O821" s="7">
        <f t="shared" si="38"/>
        <v>7.7352941176470589</v>
      </c>
    </row>
    <row r="822" spans="1:15" x14ac:dyDescent="0.35">
      <c r="A822">
        <v>821</v>
      </c>
      <c r="B822">
        <v>54</v>
      </c>
      <c r="C822" t="s">
        <v>19</v>
      </c>
      <c r="D822" t="s">
        <v>13</v>
      </c>
      <c r="E822" t="s">
        <v>30</v>
      </c>
      <c r="F822" t="s">
        <v>18</v>
      </c>
      <c r="G822">
        <v>2561</v>
      </c>
      <c r="H822">
        <v>441</v>
      </c>
      <c r="I822">
        <v>58</v>
      </c>
      <c r="J822" s="5">
        <v>9280</v>
      </c>
      <c r="K822" s="4">
        <v>585</v>
      </c>
      <c r="L822" s="6">
        <v>45713</v>
      </c>
      <c r="M822" s="7">
        <f t="shared" si="36"/>
        <v>0.17219836001561889</v>
      </c>
      <c r="N822" s="7">
        <f t="shared" si="37"/>
        <v>0.13151927437641722</v>
      </c>
      <c r="O822" s="7">
        <f t="shared" si="38"/>
        <v>14.863247863247864</v>
      </c>
    </row>
    <row r="823" spans="1:15" x14ac:dyDescent="0.35">
      <c r="A823">
        <v>822</v>
      </c>
      <c r="B823">
        <v>52</v>
      </c>
      <c r="C823" t="s">
        <v>12</v>
      </c>
      <c r="D823" t="s">
        <v>16</v>
      </c>
      <c r="E823" t="s">
        <v>25</v>
      </c>
      <c r="F823" t="s">
        <v>31</v>
      </c>
      <c r="G823">
        <v>3665</v>
      </c>
      <c r="H823">
        <v>142</v>
      </c>
      <c r="I823">
        <v>65</v>
      </c>
      <c r="J823" s="5">
        <v>6565</v>
      </c>
      <c r="K823" s="4">
        <v>956</v>
      </c>
      <c r="L823" s="6">
        <v>45673</v>
      </c>
      <c r="M823" s="7">
        <f t="shared" si="36"/>
        <v>3.874488403819918E-2</v>
      </c>
      <c r="N823" s="7">
        <f t="shared" si="37"/>
        <v>0.45774647887323944</v>
      </c>
      <c r="O823" s="7">
        <f t="shared" si="38"/>
        <v>5.8671548117154808</v>
      </c>
    </row>
    <row r="824" spans="1:15" x14ac:dyDescent="0.35">
      <c r="A824">
        <v>823</v>
      </c>
      <c r="B824">
        <v>19</v>
      </c>
      <c r="C824" t="s">
        <v>19</v>
      </c>
      <c r="D824" t="s">
        <v>13</v>
      </c>
      <c r="E824" t="s">
        <v>32</v>
      </c>
      <c r="F824" t="s">
        <v>18</v>
      </c>
      <c r="G824">
        <v>3181</v>
      </c>
      <c r="H824">
        <v>177</v>
      </c>
      <c r="I824">
        <v>47</v>
      </c>
      <c r="J824" s="5">
        <v>7473</v>
      </c>
      <c r="K824" s="4">
        <v>1496</v>
      </c>
      <c r="L824" s="6">
        <v>45742</v>
      </c>
      <c r="M824" s="7">
        <f t="shared" si="36"/>
        <v>5.5642879597610814E-2</v>
      </c>
      <c r="N824" s="7">
        <f t="shared" si="37"/>
        <v>0.2655367231638418</v>
      </c>
      <c r="O824" s="7">
        <f t="shared" si="38"/>
        <v>3.9953208556149731</v>
      </c>
    </row>
    <row r="825" spans="1:15" x14ac:dyDescent="0.35">
      <c r="A825">
        <v>824</v>
      </c>
      <c r="B825">
        <v>42</v>
      </c>
      <c r="C825" t="s">
        <v>19</v>
      </c>
      <c r="D825" t="s">
        <v>27</v>
      </c>
      <c r="E825" t="s">
        <v>25</v>
      </c>
      <c r="F825" t="s">
        <v>22</v>
      </c>
      <c r="G825">
        <v>2005</v>
      </c>
      <c r="H825">
        <v>399</v>
      </c>
      <c r="I825">
        <v>10</v>
      </c>
      <c r="J825" s="5">
        <v>1820</v>
      </c>
      <c r="K825" s="4">
        <v>792</v>
      </c>
      <c r="L825" s="6">
        <v>45726</v>
      </c>
      <c r="M825" s="7">
        <f t="shared" si="36"/>
        <v>0.19900249376558604</v>
      </c>
      <c r="N825" s="7">
        <f t="shared" si="37"/>
        <v>2.5062656641604009E-2</v>
      </c>
      <c r="O825" s="7">
        <f t="shared" si="38"/>
        <v>1.297979797979798</v>
      </c>
    </row>
    <row r="826" spans="1:15" x14ac:dyDescent="0.35">
      <c r="A826">
        <v>825</v>
      </c>
      <c r="B826">
        <v>54</v>
      </c>
      <c r="C826" t="s">
        <v>19</v>
      </c>
      <c r="D826" t="s">
        <v>20</v>
      </c>
      <c r="E826" t="s">
        <v>17</v>
      </c>
      <c r="F826" t="s">
        <v>29</v>
      </c>
      <c r="G826">
        <v>4231</v>
      </c>
      <c r="H826">
        <v>497</v>
      </c>
      <c r="I826">
        <v>20</v>
      </c>
      <c r="J826" s="5">
        <v>3680</v>
      </c>
      <c r="K826" s="4">
        <v>1018</v>
      </c>
      <c r="L826" s="6">
        <v>45730</v>
      </c>
      <c r="M826" s="7">
        <f t="shared" si="36"/>
        <v>0.11746632001890805</v>
      </c>
      <c r="N826" s="7">
        <f t="shared" si="37"/>
        <v>4.0241448692152917E-2</v>
      </c>
      <c r="O826" s="7">
        <f t="shared" si="38"/>
        <v>2.6149312377210214</v>
      </c>
    </row>
    <row r="827" spans="1:15" x14ac:dyDescent="0.35">
      <c r="A827">
        <v>826</v>
      </c>
      <c r="B827">
        <v>53</v>
      </c>
      <c r="C827" t="s">
        <v>19</v>
      </c>
      <c r="D827" t="s">
        <v>16</v>
      </c>
      <c r="E827" t="s">
        <v>28</v>
      </c>
      <c r="F827" t="s">
        <v>18</v>
      </c>
      <c r="G827">
        <v>1949</v>
      </c>
      <c r="H827">
        <v>234</v>
      </c>
      <c r="I827">
        <v>70</v>
      </c>
      <c r="J827" s="5">
        <v>13020</v>
      </c>
      <c r="K827" s="4">
        <v>464</v>
      </c>
      <c r="L827" s="6">
        <v>45721</v>
      </c>
      <c r="M827" s="7">
        <f t="shared" si="36"/>
        <v>0.12006157003591586</v>
      </c>
      <c r="N827" s="7">
        <f t="shared" si="37"/>
        <v>0.29914529914529914</v>
      </c>
      <c r="O827" s="7">
        <f t="shared" si="38"/>
        <v>27.060344827586206</v>
      </c>
    </row>
    <row r="828" spans="1:15" x14ac:dyDescent="0.35">
      <c r="A828">
        <v>827</v>
      </c>
      <c r="B828">
        <v>50</v>
      </c>
      <c r="C828" t="s">
        <v>19</v>
      </c>
      <c r="D828" t="s">
        <v>26</v>
      </c>
      <c r="E828" t="s">
        <v>33</v>
      </c>
      <c r="F828" t="s">
        <v>22</v>
      </c>
      <c r="G828">
        <v>3221</v>
      </c>
      <c r="H828">
        <v>488</v>
      </c>
      <c r="I828">
        <v>33</v>
      </c>
      <c r="J828" s="5">
        <v>6237</v>
      </c>
      <c r="K828" s="4">
        <v>1645</v>
      </c>
      <c r="L828" s="6">
        <v>45728</v>
      </c>
      <c r="M828" s="7">
        <f t="shared" si="36"/>
        <v>0.15150574355790128</v>
      </c>
      <c r="N828" s="7">
        <f t="shared" si="37"/>
        <v>6.7622950819672137E-2</v>
      </c>
      <c r="O828" s="7">
        <f t="shared" si="38"/>
        <v>2.7914893617021277</v>
      </c>
    </row>
    <row r="829" spans="1:15" x14ac:dyDescent="0.35">
      <c r="A829">
        <v>828</v>
      </c>
      <c r="B829">
        <v>44</v>
      </c>
      <c r="C829" t="s">
        <v>19</v>
      </c>
      <c r="D829" t="s">
        <v>20</v>
      </c>
      <c r="E829" t="s">
        <v>34</v>
      </c>
      <c r="F829" t="s">
        <v>29</v>
      </c>
      <c r="G829">
        <v>1012</v>
      </c>
      <c r="H829">
        <v>265</v>
      </c>
      <c r="I829">
        <v>8</v>
      </c>
      <c r="J829" s="5">
        <v>1288</v>
      </c>
      <c r="K829" s="4">
        <v>1483</v>
      </c>
      <c r="L829" s="6">
        <v>45685</v>
      </c>
      <c r="M829" s="7">
        <f t="shared" si="36"/>
        <v>0.26185770750988141</v>
      </c>
      <c r="N829" s="7">
        <f t="shared" si="37"/>
        <v>3.0188679245283019E-2</v>
      </c>
      <c r="O829" s="7">
        <f t="shared" si="38"/>
        <v>-0.13149022252191503</v>
      </c>
    </row>
    <row r="830" spans="1:15" x14ac:dyDescent="0.35">
      <c r="A830">
        <v>829</v>
      </c>
      <c r="B830">
        <v>23</v>
      </c>
      <c r="C830" t="s">
        <v>12</v>
      </c>
      <c r="D830" t="s">
        <v>16</v>
      </c>
      <c r="E830" t="s">
        <v>33</v>
      </c>
      <c r="F830" t="s">
        <v>29</v>
      </c>
      <c r="G830">
        <v>2653</v>
      </c>
      <c r="H830">
        <v>154</v>
      </c>
      <c r="I830">
        <v>59</v>
      </c>
      <c r="J830" s="5">
        <v>8201</v>
      </c>
      <c r="K830" s="4">
        <v>427</v>
      </c>
      <c r="L830" s="6">
        <v>45744</v>
      </c>
      <c r="M830" s="7">
        <f t="shared" si="36"/>
        <v>5.8047493403693931E-2</v>
      </c>
      <c r="N830" s="7">
        <f t="shared" si="37"/>
        <v>0.38311688311688313</v>
      </c>
      <c r="O830" s="7">
        <f t="shared" si="38"/>
        <v>18.206088992974237</v>
      </c>
    </row>
    <row r="831" spans="1:15" x14ac:dyDescent="0.35">
      <c r="A831">
        <v>830</v>
      </c>
      <c r="B831">
        <v>30</v>
      </c>
      <c r="C831" t="s">
        <v>19</v>
      </c>
      <c r="D831" t="s">
        <v>23</v>
      </c>
      <c r="E831" t="s">
        <v>34</v>
      </c>
      <c r="F831" t="s">
        <v>31</v>
      </c>
      <c r="G831">
        <v>3421</v>
      </c>
      <c r="H831">
        <v>105</v>
      </c>
      <c r="I831">
        <v>17</v>
      </c>
      <c r="J831" s="5">
        <v>1649</v>
      </c>
      <c r="K831" s="4">
        <v>1663</v>
      </c>
      <c r="L831" s="6">
        <v>45758</v>
      </c>
      <c r="M831" s="7">
        <f t="shared" si="36"/>
        <v>3.0692779888921367E-2</v>
      </c>
      <c r="N831" s="7">
        <f t="shared" si="37"/>
        <v>0.16190476190476191</v>
      </c>
      <c r="O831" s="7">
        <f t="shared" si="38"/>
        <v>-8.4185207456404093E-3</v>
      </c>
    </row>
    <row r="832" spans="1:15" x14ac:dyDescent="0.35">
      <c r="A832">
        <v>831</v>
      </c>
      <c r="B832">
        <v>32</v>
      </c>
      <c r="C832" t="s">
        <v>12</v>
      </c>
      <c r="D832" t="s">
        <v>23</v>
      </c>
      <c r="E832" t="s">
        <v>33</v>
      </c>
      <c r="F832" t="s">
        <v>15</v>
      </c>
      <c r="G832">
        <v>670</v>
      </c>
      <c r="H832">
        <v>344</v>
      </c>
      <c r="I832">
        <v>65</v>
      </c>
      <c r="J832" s="5">
        <v>10400</v>
      </c>
      <c r="K832" s="4">
        <v>625</v>
      </c>
      <c r="L832" s="6">
        <v>45680</v>
      </c>
      <c r="M832" s="7">
        <f t="shared" si="36"/>
        <v>0.51343283582089549</v>
      </c>
      <c r="N832" s="7">
        <f t="shared" si="37"/>
        <v>0.18895348837209303</v>
      </c>
      <c r="O832" s="7">
        <f t="shared" si="38"/>
        <v>15.64</v>
      </c>
    </row>
    <row r="833" spans="1:15" x14ac:dyDescent="0.35">
      <c r="A833">
        <v>832</v>
      </c>
      <c r="B833">
        <v>24</v>
      </c>
      <c r="C833" t="s">
        <v>12</v>
      </c>
      <c r="D833" t="s">
        <v>16</v>
      </c>
      <c r="E833" t="s">
        <v>17</v>
      </c>
      <c r="F833" t="s">
        <v>18</v>
      </c>
      <c r="G833">
        <v>3753</v>
      </c>
      <c r="H833">
        <v>335</v>
      </c>
      <c r="I833">
        <v>62</v>
      </c>
      <c r="J833" s="5">
        <v>9052</v>
      </c>
      <c r="K833" s="4">
        <v>1931</v>
      </c>
      <c r="L833" s="6">
        <v>45675</v>
      </c>
      <c r="M833" s="7">
        <f t="shared" si="36"/>
        <v>8.9261923794297898E-2</v>
      </c>
      <c r="N833" s="7">
        <f t="shared" si="37"/>
        <v>0.18507462686567164</v>
      </c>
      <c r="O833" s="7">
        <f t="shared" si="38"/>
        <v>3.6877265665458312</v>
      </c>
    </row>
    <row r="834" spans="1:15" x14ac:dyDescent="0.35">
      <c r="A834">
        <v>833</v>
      </c>
      <c r="B834">
        <v>46</v>
      </c>
      <c r="C834" t="s">
        <v>19</v>
      </c>
      <c r="D834" t="s">
        <v>20</v>
      </c>
      <c r="E834" t="s">
        <v>25</v>
      </c>
      <c r="F834" t="s">
        <v>18</v>
      </c>
      <c r="G834">
        <v>4077</v>
      </c>
      <c r="H834">
        <v>242</v>
      </c>
      <c r="I834">
        <v>72</v>
      </c>
      <c r="J834" s="5">
        <v>9216</v>
      </c>
      <c r="K834" s="4">
        <v>693</v>
      </c>
      <c r="L834" s="6">
        <v>45747</v>
      </c>
      <c r="M834" s="7">
        <f t="shared" si="36"/>
        <v>5.9357370615648761E-2</v>
      </c>
      <c r="N834" s="7">
        <f t="shared" si="37"/>
        <v>0.2975206611570248</v>
      </c>
      <c r="O834" s="7">
        <f t="shared" si="38"/>
        <v>12.2987012987013</v>
      </c>
    </row>
    <row r="835" spans="1:15" x14ac:dyDescent="0.35">
      <c r="A835">
        <v>834</v>
      </c>
      <c r="B835">
        <v>23</v>
      </c>
      <c r="C835" t="s">
        <v>12</v>
      </c>
      <c r="D835" t="s">
        <v>27</v>
      </c>
      <c r="E835" t="s">
        <v>32</v>
      </c>
      <c r="F835" t="s">
        <v>22</v>
      </c>
      <c r="G835">
        <v>2369</v>
      </c>
      <c r="H835">
        <v>58</v>
      </c>
      <c r="I835">
        <v>51</v>
      </c>
      <c r="J835" s="5">
        <v>6630</v>
      </c>
      <c r="K835" s="4">
        <v>1521</v>
      </c>
      <c r="L835" s="6">
        <v>45745</v>
      </c>
      <c r="M835" s="7">
        <f t="shared" ref="M835:M898" si="39">H835/G835</f>
        <v>2.4482904178978471E-2</v>
      </c>
      <c r="N835" s="7">
        <f t="shared" ref="N835:N898" si="40">I835/H835</f>
        <v>0.87931034482758619</v>
      </c>
      <c r="O835" s="7">
        <f t="shared" ref="O835:O898" si="41">(J835-K835)/K835</f>
        <v>3.358974358974359</v>
      </c>
    </row>
    <row r="836" spans="1:15" x14ac:dyDescent="0.35">
      <c r="A836">
        <v>835</v>
      </c>
      <c r="B836">
        <v>41</v>
      </c>
      <c r="C836" t="s">
        <v>12</v>
      </c>
      <c r="D836" t="s">
        <v>26</v>
      </c>
      <c r="E836" t="s">
        <v>14</v>
      </c>
      <c r="F836" t="s">
        <v>31</v>
      </c>
      <c r="G836">
        <v>4505</v>
      </c>
      <c r="H836">
        <v>377</v>
      </c>
      <c r="I836">
        <v>69</v>
      </c>
      <c r="J836" s="5">
        <v>13248</v>
      </c>
      <c r="K836" s="4">
        <v>1917</v>
      </c>
      <c r="L836" s="6">
        <v>45740</v>
      </c>
      <c r="M836" s="7">
        <f t="shared" si="39"/>
        <v>8.3684794672586021E-2</v>
      </c>
      <c r="N836" s="7">
        <f t="shared" si="40"/>
        <v>0.1830238726790451</v>
      </c>
      <c r="O836" s="7">
        <f t="shared" si="41"/>
        <v>5.910798122065728</v>
      </c>
    </row>
    <row r="837" spans="1:15" x14ac:dyDescent="0.35">
      <c r="A837">
        <v>836</v>
      </c>
      <c r="B837">
        <v>47</v>
      </c>
      <c r="C837" t="s">
        <v>19</v>
      </c>
      <c r="D837" t="s">
        <v>27</v>
      </c>
      <c r="E837" t="s">
        <v>28</v>
      </c>
      <c r="F837" t="s">
        <v>22</v>
      </c>
      <c r="G837">
        <v>4268</v>
      </c>
      <c r="H837">
        <v>488</v>
      </c>
      <c r="I837">
        <v>64</v>
      </c>
      <c r="J837" s="5">
        <v>9024</v>
      </c>
      <c r="K837" s="4">
        <v>810</v>
      </c>
      <c r="L837" s="6">
        <v>45732</v>
      </c>
      <c r="M837" s="7">
        <f t="shared" si="39"/>
        <v>0.11433926897844424</v>
      </c>
      <c r="N837" s="7">
        <f t="shared" si="40"/>
        <v>0.13114754098360656</v>
      </c>
      <c r="O837" s="7">
        <f t="shared" si="41"/>
        <v>10.140740740740741</v>
      </c>
    </row>
    <row r="838" spans="1:15" x14ac:dyDescent="0.35">
      <c r="A838">
        <v>837</v>
      </c>
      <c r="B838">
        <v>51</v>
      </c>
      <c r="C838" t="s">
        <v>12</v>
      </c>
      <c r="D838" t="s">
        <v>27</v>
      </c>
      <c r="E838" t="s">
        <v>34</v>
      </c>
      <c r="F838" t="s">
        <v>15</v>
      </c>
      <c r="G838">
        <v>3783</v>
      </c>
      <c r="H838">
        <v>175</v>
      </c>
      <c r="I838">
        <v>33</v>
      </c>
      <c r="J838" s="5">
        <v>3960</v>
      </c>
      <c r="K838" s="4">
        <v>1722</v>
      </c>
      <c r="L838" s="6">
        <v>45688</v>
      </c>
      <c r="M838" s="7">
        <f t="shared" si="39"/>
        <v>4.6259582342056571E-2</v>
      </c>
      <c r="N838" s="7">
        <f t="shared" si="40"/>
        <v>0.18857142857142858</v>
      </c>
      <c r="O838" s="7">
        <f t="shared" si="41"/>
        <v>1.2996515679442509</v>
      </c>
    </row>
    <row r="839" spans="1:15" x14ac:dyDescent="0.35">
      <c r="A839">
        <v>838</v>
      </c>
      <c r="B839">
        <v>40</v>
      </c>
      <c r="C839" t="s">
        <v>12</v>
      </c>
      <c r="D839" t="s">
        <v>16</v>
      </c>
      <c r="E839" t="s">
        <v>30</v>
      </c>
      <c r="F839" t="s">
        <v>31</v>
      </c>
      <c r="G839">
        <v>2659</v>
      </c>
      <c r="H839">
        <v>451</v>
      </c>
      <c r="I839">
        <v>21</v>
      </c>
      <c r="J839" s="5">
        <v>1953</v>
      </c>
      <c r="K839" s="4">
        <v>1517</v>
      </c>
      <c r="L839" s="6">
        <v>45736</v>
      </c>
      <c r="M839" s="7">
        <f t="shared" si="39"/>
        <v>0.16961263632944715</v>
      </c>
      <c r="N839" s="7">
        <f t="shared" si="40"/>
        <v>4.6563192904656318E-2</v>
      </c>
      <c r="O839" s="7">
        <f t="shared" si="41"/>
        <v>0.28740936058009231</v>
      </c>
    </row>
    <row r="840" spans="1:15" x14ac:dyDescent="0.35">
      <c r="A840">
        <v>839</v>
      </c>
      <c r="B840">
        <v>36</v>
      </c>
      <c r="C840" t="s">
        <v>12</v>
      </c>
      <c r="D840" t="s">
        <v>27</v>
      </c>
      <c r="E840" t="s">
        <v>30</v>
      </c>
      <c r="F840" t="s">
        <v>15</v>
      </c>
      <c r="G840">
        <v>1633</v>
      </c>
      <c r="H840">
        <v>489</v>
      </c>
      <c r="I840">
        <v>26</v>
      </c>
      <c r="J840" s="5">
        <v>5148</v>
      </c>
      <c r="K840" s="4">
        <v>1791</v>
      </c>
      <c r="L840" s="6">
        <v>45701</v>
      </c>
      <c r="M840" s="7">
        <f t="shared" si="39"/>
        <v>0.29944886711573793</v>
      </c>
      <c r="N840" s="7">
        <f t="shared" si="40"/>
        <v>5.3169734151329244E-2</v>
      </c>
      <c r="O840" s="7">
        <f t="shared" si="41"/>
        <v>1.8743718592964824</v>
      </c>
    </row>
    <row r="841" spans="1:15" x14ac:dyDescent="0.35">
      <c r="A841">
        <v>840</v>
      </c>
      <c r="B841">
        <v>46</v>
      </c>
      <c r="C841" t="s">
        <v>19</v>
      </c>
      <c r="D841" t="s">
        <v>27</v>
      </c>
      <c r="E841" t="s">
        <v>28</v>
      </c>
      <c r="F841" t="s">
        <v>31</v>
      </c>
      <c r="G841">
        <v>2005</v>
      </c>
      <c r="H841">
        <v>340</v>
      </c>
      <c r="I841">
        <v>5</v>
      </c>
      <c r="J841" s="5">
        <v>820</v>
      </c>
      <c r="K841" s="4">
        <v>1019</v>
      </c>
      <c r="L841" s="6">
        <v>45694</v>
      </c>
      <c r="M841" s="7">
        <f t="shared" si="39"/>
        <v>0.16957605985037408</v>
      </c>
      <c r="N841" s="7">
        <f t="shared" si="40"/>
        <v>1.4705882352941176E-2</v>
      </c>
      <c r="O841" s="7">
        <f t="shared" si="41"/>
        <v>-0.19528949950932287</v>
      </c>
    </row>
    <row r="842" spans="1:15" x14ac:dyDescent="0.35">
      <c r="A842">
        <v>841</v>
      </c>
      <c r="B842">
        <v>43</v>
      </c>
      <c r="C842" t="s">
        <v>19</v>
      </c>
      <c r="D842" t="s">
        <v>13</v>
      </c>
      <c r="E842" t="s">
        <v>34</v>
      </c>
      <c r="F842" t="s">
        <v>15</v>
      </c>
      <c r="G842">
        <v>678</v>
      </c>
      <c r="H842">
        <v>434</v>
      </c>
      <c r="I842">
        <v>25</v>
      </c>
      <c r="J842" s="5">
        <v>4675</v>
      </c>
      <c r="K842" s="4">
        <v>1751</v>
      </c>
      <c r="L842" s="6">
        <v>45757</v>
      </c>
      <c r="M842" s="7">
        <f t="shared" si="39"/>
        <v>0.64011799410029502</v>
      </c>
      <c r="N842" s="7">
        <f t="shared" si="40"/>
        <v>5.7603686635944701E-2</v>
      </c>
      <c r="O842" s="7">
        <f t="shared" si="41"/>
        <v>1.6699029126213591</v>
      </c>
    </row>
    <row r="843" spans="1:15" x14ac:dyDescent="0.35">
      <c r="A843">
        <v>842</v>
      </c>
      <c r="B843">
        <v>40</v>
      </c>
      <c r="C843" t="s">
        <v>19</v>
      </c>
      <c r="D843" t="s">
        <v>27</v>
      </c>
      <c r="E843" t="s">
        <v>14</v>
      </c>
      <c r="F843" t="s">
        <v>18</v>
      </c>
      <c r="G843">
        <v>1085</v>
      </c>
      <c r="H843">
        <v>241</v>
      </c>
      <c r="I843">
        <v>47</v>
      </c>
      <c r="J843" s="5">
        <v>6486</v>
      </c>
      <c r="K843" s="4">
        <v>1496</v>
      </c>
      <c r="L843" s="6">
        <v>45701</v>
      </c>
      <c r="M843" s="7">
        <f t="shared" si="39"/>
        <v>0.22211981566820277</v>
      </c>
      <c r="N843" s="7">
        <f t="shared" si="40"/>
        <v>0.19502074688796681</v>
      </c>
      <c r="O843" s="7">
        <f t="shared" si="41"/>
        <v>3.3355614973262031</v>
      </c>
    </row>
    <row r="844" spans="1:15" x14ac:dyDescent="0.35">
      <c r="A844">
        <v>843</v>
      </c>
      <c r="B844">
        <v>21</v>
      </c>
      <c r="C844" t="s">
        <v>12</v>
      </c>
      <c r="D844" t="s">
        <v>23</v>
      </c>
      <c r="E844" t="s">
        <v>14</v>
      </c>
      <c r="F844" t="s">
        <v>22</v>
      </c>
      <c r="G844">
        <v>3898</v>
      </c>
      <c r="H844">
        <v>157</v>
      </c>
      <c r="I844">
        <v>38</v>
      </c>
      <c r="J844" s="5">
        <v>7144</v>
      </c>
      <c r="K844" s="4">
        <v>1013</v>
      </c>
      <c r="L844" s="6">
        <v>45753</v>
      </c>
      <c r="M844" s="7">
        <f t="shared" si="39"/>
        <v>4.0277065161621342E-2</v>
      </c>
      <c r="N844" s="7">
        <f t="shared" si="40"/>
        <v>0.24203821656050956</v>
      </c>
      <c r="O844" s="7">
        <f t="shared" si="41"/>
        <v>6.0523198420533069</v>
      </c>
    </row>
    <row r="845" spans="1:15" x14ac:dyDescent="0.35">
      <c r="A845">
        <v>844</v>
      </c>
      <c r="B845">
        <v>54</v>
      </c>
      <c r="C845" t="s">
        <v>19</v>
      </c>
      <c r="D845" t="s">
        <v>27</v>
      </c>
      <c r="E845" t="s">
        <v>28</v>
      </c>
      <c r="F845" t="s">
        <v>15</v>
      </c>
      <c r="G845">
        <v>3206</v>
      </c>
      <c r="H845">
        <v>51</v>
      </c>
      <c r="I845">
        <v>14</v>
      </c>
      <c r="J845" s="5">
        <v>2240</v>
      </c>
      <c r="K845" s="4">
        <v>633</v>
      </c>
      <c r="L845" s="6">
        <v>45679</v>
      </c>
      <c r="M845" s="7">
        <f t="shared" si="39"/>
        <v>1.5907673112913287E-2</v>
      </c>
      <c r="N845" s="7">
        <f t="shared" si="40"/>
        <v>0.27450980392156865</v>
      </c>
      <c r="O845" s="7">
        <f t="shared" si="41"/>
        <v>2.5387045813586098</v>
      </c>
    </row>
    <row r="846" spans="1:15" x14ac:dyDescent="0.35">
      <c r="A846">
        <v>845</v>
      </c>
      <c r="B846">
        <v>23</v>
      </c>
      <c r="C846" t="s">
        <v>19</v>
      </c>
      <c r="D846" t="s">
        <v>26</v>
      </c>
      <c r="E846" t="s">
        <v>24</v>
      </c>
      <c r="F846" t="s">
        <v>22</v>
      </c>
      <c r="G846">
        <v>3420</v>
      </c>
      <c r="H846">
        <v>389</v>
      </c>
      <c r="I846">
        <v>5</v>
      </c>
      <c r="J846" s="5">
        <v>950</v>
      </c>
      <c r="K846" s="4">
        <v>637</v>
      </c>
      <c r="L846" s="6">
        <v>45675</v>
      </c>
      <c r="M846" s="7">
        <f t="shared" si="39"/>
        <v>0.11374269005847953</v>
      </c>
      <c r="N846" s="7">
        <f t="shared" si="40"/>
        <v>1.2853470437017995E-2</v>
      </c>
      <c r="O846" s="7">
        <f t="shared" si="41"/>
        <v>0.49136577708006279</v>
      </c>
    </row>
    <row r="847" spans="1:15" x14ac:dyDescent="0.35">
      <c r="A847">
        <v>846</v>
      </c>
      <c r="B847">
        <v>30</v>
      </c>
      <c r="C847" t="s">
        <v>19</v>
      </c>
      <c r="D847" t="s">
        <v>20</v>
      </c>
      <c r="E847" t="s">
        <v>14</v>
      </c>
      <c r="F847" t="s">
        <v>15</v>
      </c>
      <c r="G847">
        <v>1401</v>
      </c>
      <c r="H847">
        <v>94</v>
      </c>
      <c r="I847">
        <v>27</v>
      </c>
      <c r="J847" s="5">
        <v>2835</v>
      </c>
      <c r="K847" s="4">
        <v>734</v>
      </c>
      <c r="L847" s="6">
        <v>45736</v>
      </c>
      <c r="M847" s="7">
        <f t="shared" si="39"/>
        <v>6.7094932191291937E-2</v>
      </c>
      <c r="N847" s="7">
        <f t="shared" si="40"/>
        <v>0.28723404255319152</v>
      </c>
      <c r="O847" s="7">
        <f t="shared" si="41"/>
        <v>2.8623978201634879</v>
      </c>
    </row>
    <row r="848" spans="1:15" x14ac:dyDescent="0.35">
      <c r="A848">
        <v>847</v>
      </c>
      <c r="B848">
        <v>53</v>
      </c>
      <c r="C848" t="s">
        <v>12</v>
      </c>
      <c r="D848" t="s">
        <v>20</v>
      </c>
      <c r="E848" t="s">
        <v>14</v>
      </c>
      <c r="F848" t="s">
        <v>31</v>
      </c>
      <c r="G848">
        <v>1567</v>
      </c>
      <c r="H848">
        <v>76</v>
      </c>
      <c r="I848">
        <v>30</v>
      </c>
      <c r="J848" s="5">
        <v>4740</v>
      </c>
      <c r="K848" s="4">
        <v>1320</v>
      </c>
      <c r="L848" s="6">
        <v>45721</v>
      </c>
      <c r="M848" s="7">
        <f t="shared" si="39"/>
        <v>4.8500319081046586E-2</v>
      </c>
      <c r="N848" s="7">
        <f t="shared" si="40"/>
        <v>0.39473684210526316</v>
      </c>
      <c r="O848" s="7">
        <f t="shared" si="41"/>
        <v>2.5909090909090908</v>
      </c>
    </row>
    <row r="849" spans="1:15" x14ac:dyDescent="0.35">
      <c r="A849">
        <v>848</v>
      </c>
      <c r="B849">
        <v>50</v>
      </c>
      <c r="C849" t="s">
        <v>12</v>
      </c>
      <c r="D849" t="s">
        <v>23</v>
      </c>
      <c r="E849" t="s">
        <v>14</v>
      </c>
      <c r="F849" t="s">
        <v>22</v>
      </c>
      <c r="G849">
        <v>4780</v>
      </c>
      <c r="H849">
        <v>118</v>
      </c>
      <c r="I849">
        <v>65</v>
      </c>
      <c r="J849" s="5">
        <v>8710</v>
      </c>
      <c r="K849" s="4">
        <v>1353</v>
      </c>
      <c r="L849" s="6">
        <v>45695</v>
      </c>
      <c r="M849" s="7">
        <f t="shared" si="39"/>
        <v>2.4686192468619247E-2</v>
      </c>
      <c r="N849" s="7">
        <f t="shared" si="40"/>
        <v>0.55084745762711862</v>
      </c>
      <c r="O849" s="7">
        <f t="shared" si="41"/>
        <v>5.4375461936437546</v>
      </c>
    </row>
    <row r="850" spans="1:15" x14ac:dyDescent="0.35">
      <c r="A850">
        <v>849</v>
      </c>
      <c r="B850">
        <v>32</v>
      </c>
      <c r="C850" t="s">
        <v>12</v>
      </c>
      <c r="D850" t="s">
        <v>16</v>
      </c>
      <c r="E850" t="s">
        <v>24</v>
      </c>
      <c r="F850" t="s">
        <v>29</v>
      </c>
      <c r="G850">
        <v>4291</v>
      </c>
      <c r="H850">
        <v>383</v>
      </c>
      <c r="I850">
        <v>33</v>
      </c>
      <c r="J850" s="5">
        <v>3762</v>
      </c>
      <c r="K850" s="4">
        <v>1377</v>
      </c>
      <c r="L850" s="6">
        <v>45744</v>
      </c>
      <c r="M850" s="7">
        <f t="shared" si="39"/>
        <v>8.9256583546958757E-2</v>
      </c>
      <c r="N850" s="7">
        <f t="shared" si="40"/>
        <v>8.6161879895561358E-2</v>
      </c>
      <c r="O850" s="7">
        <f t="shared" si="41"/>
        <v>1.7320261437908497</v>
      </c>
    </row>
    <row r="851" spans="1:15" x14ac:dyDescent="0.35">
      <c r="A851">
        <v>850</v>
      </c>
      <c r="B851">
        <v>24</v>
      </c>
      <c r="C851" t="s">
        <v>19</v>
      </c>
      <c r="D851" t="s">
        <v>20</v>
      </c>
      <c r="E851" t="s">
        <v>24</v>
      </c>
      <c r="F851" t="s">
        <v>31</v>
      </c>
      <c r="G851">
        <v>2960</v>
      </c>
      <c r="H851">
        <v>83</v>
      </c>
      <c r="I851">
        <v>45</v>
      </c>
      <c r="J851" s="5">
        <v>4590</v>
      </c>
      <c r="K851" s="4">
        <v>880</v>
      </c>
      <c r="L851" s="6">
        <v>45715</v>
      </c>
      <c r="M851" s="7">
        <f t="shared" si="39"/>
        <v>2.8040540540540542E-2</v>
      </c>
      <c r="N851" s="7">
        <f t="shared" si="40"/>
        <v>0.54216867469879515</v>
      </c>
      <c r="O851" s="7">
        <f t="shared" si="41"/>
        <v>4.2159090909090908</v>
      </c>
    </row>
    <row r="852" spans="1:15" x14ac:dyDescent="0.35">
      <c r="A852">
        <v>851</v>
      </c>
      <c r="B852">
        <v>31</v>
      </c>
      <c r="C852" t="s">
        <v>12</v>
      </c>
      <c r="D852" t="s">
        <v>27</v>
      </c>
      <c r="E852" t="s">
        <v>32</v>
      </c>
      <c r="F852" t="s">
        <v>22</v>
      </c>
      <c r="G852">
        <v>2579</v>
      </c>
      <c r="H852">
        <v>336</v>
      </c>
      <c r="I852">
        <v>47</v>
      </c>
      <c r="J852" s="5">
        <v>3760</v>
      </c>
      <c r="K852" s="4">
        <v>816</v>
      </c>
      <c r="L852" s="6">
        <v>45753</v>
      </c>
      <c r="M852" s="7">
        <f t="shared" si="39"/>
        <v>0.13028305544784799</v>
      </c>
      <c r="N852" s="7">
        <f t="shared" si="40"/>
        <v>0.13988095238095238</v>
      </c>
      <c r="O852" s="7">
        <f t="shared" si="41"/>
        <v>3.607843137254902</v>
      </c>
    </row>
    <row r="853" spans="1:15" x14ac:dyDescent="0.35">
      <c r="A853">
        <v>852</v>
      </c>
      <c r="B853">
        <v>51</v>
      </c>
      <c r="C853" t="s">
        <v>19</v>
      </c>
      <c r="D853" t="s">
        <v>27</v>
      </c>
      <c r="E853" t="s">
        <v>32</v>
      </c>
      <c r="F853" t="s">
        <v>18</v>
      </c>
      <c r="G853">
        <v>3065</v>
      </c>
      <c r="H853">
        <v>152</v>
      </c>
      <c r="I853">
        <v>14</v>
      </c>
      <c r="J853" s="5">
        <v>2366</v>
      </c>
      <c r="K853" s="4">
        <v>782</v>
      </c>
      <c r="L853" s="6">
        <v>45678</v>
      </c>
      <c r="M853" s="7">
        <f t="shared" si="39"/>
        <v>4.9592169657422511E-2</v>
      </c>
      <c r="N853" s="7">
        <f t="shared" si="40"/>
        <v>9.2105263157894732E-2</v>
      </c>
      <c r="O853" s="7">
        <f t="shared" si="41"/>
        <v>2.0255754475703327</v>
      </c>
    </row>
    <row r="854" spans="1:15" x14ac:dyDescent="0.35">
      <c r="A854">
        <v>853</v>
      </c>
      <c r="B854">
        <v>29</v>
      </c>
      <c r="C854" t="s">
        <v>19</v>
      </c>
      <c r="D854" t="s">
        <v>20</v>
      </c>
      <c r="E854" t="s">
        <v>17</v>
      </c>
      <c r="F854" t="s">
        <v>22</v>
      </c>
      <c r="G854">
        <v>3668</v>
      </c>
      <c r="H854">
        <v>123</v>
      </c>
      <c r="I854">
        <v>67</v>
      </c>
      <c r="J854" s="5">
        <v>8710</v>
      </c>
      <c r="K854" s="4">
        <v>1905</v>
      </c>
      <c r="L854" s="6">
        <v>45737</v>
      </c>
      <c r="M854" s="7">
        <f t="shared" si="39"/>
        <v>3.3533260632497272E-2</v>
      </c>
      <c r="N854" s="7">
        <f t="shared" si="40"/>
        <v>0.54471544715447151</v>
      </c>
      <c r="O854" s="7">
        <f t="shared" si="41"/>
        <v>3.5721784776902887</v>
      </c>
    </row>
    <row r="855" spans="1:15" x14ac:dyDescent="0.35">
      <c r="A855">
        <v>854</v>
      </c>
      <c r="B855">
        <v>45</v>
      </c>
      <c r="C855" t="s">
        <v>19</v>
      </c>
      <c r="D855" t="s">
        <v>23</v>
      </c>
      <c r="E855" t="s">
        <v>34</v>
      </c>
      <c r="F855" t="s">
        <v>22</v>
      </c>
      <c r="G855">
        <v>3100</v>
      </c>
      <c r="H855">
        <v>81</v>
      </c>
      <c r="I855">
        <v>19</v>
      </c>
      <c r="J855" s="5">
        <v>2014</v>
      </c>
      <c r="K855" s="4">
        <v>773</v>
      </c>
      <c r="L855" s="6">
        <v>45721</v>
      </c>
      <c r="M855" s="7">
        <f t="shared" si="39"/>
        <v>2.6129032258064518E-2</v>
      </c>
      <c r="N855" s="7">
        <f t="shared" si="40"/>
        <v>0.23456790123456789</v>
      </c>
      <c r="O855" s="7">
        <f t="shared" si="41"/>
        <v>1.6054333764553688</v>
      </c>
    </row>
    <row r="856" spans="1:15" x14ac:dyDescent="0.35">
      <c r="A856">
        <v>855</v>
      </c>
      <c r="B856">
        <v>24</v>
      </c>
      <c r="C856" t="s">
        <v>19</v>
      </c>
      <c r="D856" t="s">
        <v>27</v>
      </c>
      <c r="E856" t="s">
        <v>30</v>
      </c>
      <c r="F856" t="s">
        <v>22</v>
      </c>
      <c r="G856">
        <v>4065</v>
      </c>
      <c r="H856">
        <v>236</v>
      </c>
      <c r="I856">
        <v>62</v>
      </c>
      <c r="J856" s="5">
        <v>7130</v>
      </c>
      <c r="K856" s="4">
        <v>329</v>
      </c>
      <c r="L856" s="6">
        <v>45744</v>
      </c>
      <c r="M856" s="7">
        <f t="shared" si="39"/>
        <v>5.8056580565805656E-2</v>
      </c>
      <c r="N856" s="7">
        <f t="shared" si="40"/>
        <v>0.26271186440677968</v>
      </c>
      <c r="O856" s="7">
        <f t="shared" si="41"/>
        <v>20.671732522796354</v>
      </c>
    </row>
    <row r="857" spans="1:15" x14ac:dyDescent="0.35">
      <c r="A857">
        <v>856</v>
      </c>
      <c r="B857">
        <v>41</v>
      </c>
      <c r="C857" t="s">
        <v>12</v>
      </c>
      <c r="D857" t="s">
        <v>16</v>
      </c>
      <c r="E857" t="s">
        <v>17</v>
      </c>
      <c r="F857" t="s">
        <v>22</v>
      </c>
      <c r="G857">
        <v>2994</v>
      </c>
      <c r="H857">
        <v>252</v>
      </c>
      <c r="I857">
        <v>78</v>
      </c>
      <c r="J857" s="5">
        <v>14040</v>
      </c>
      <c r="K857" s="4">
        <v>736</v>
      </c>
      <c r="L857" s="6">
        <v>45767</v>
      </c>
      <c r="M857" s="7">
        <f t="shared" si="39"/>
        <v>8.4168336673346694E-2</v>
      </c>
      <c r="N857" s="7">
        <f t="shared" si="40"/>
        <v>0.30952380952380953</v>
      </c>
      <c r="O857" s="7">
        <f t="shared" si="41"/>
        <v>18.076086956521738</v>
      </c>
    </row>
    <row r="858" spans="1:15" x14ac:dyDescent="0.35">
      <c r="A858">
        <v>857</v>
      </c>
      <c r="B858">
        <v>41</v>
      </c>
      <c r="C858" t="s">
        <v>12</v>
      </c>
      <c r="D858" t="s">
        <v>20</v>
      </c>
      <c r="E858" t="s">
        <v>30</v>
      </c>
      <c r="F858" t="s">
        <v>31</v>
      </c>
      <c r="G858">
        <v>2776</v>
      </c>
      <c r="H858">
        <v>362</v>
      </c>
      <c r="I858">
        <v>6</v>
      </c>
      <c r="J858" s="5">
        <v>846</v>
      </c>
      <c r="K858" s="4">
        <v>1575</v>
      </c>
      <c r="L858" s="6">
        <v>45725</v>
      </c>
      <c r="M858" s="7">
        <f t="shared" si="39"/>
        <v>0.1304034582132565</v>
      </c>
      <c r="N858" s="7">
        <f t="shared" si="40"/>
        <v>1.6574585635359115E-2</v>
      </c>
      <c r="O858" s="7">
        <f t="shared" si="41"/>
        <v>-0.46285714285714286</v>
      </c>
    </row>
    <row r="859" spans="1:15" x14ac:dyDescent="0.35">
      <c r="A859">
        <v>858</v>
      </c>
      <c r="B859">
        <v>38</v>
      </c>
      <c r="C859" t="s">
        <v>19</v>
      </c>
      <c r="D859" t="s">
        <v>16</v>
      </c>
      <c r="E859" t="s">
        <v>25</v>
      </c>
      <c r="F859" t="s">
        <v>29</v>
      </c>
      <c r="G859">
        <v>4712</v>
      </c>
      <c r="H859">
        <v>355</v>
      </c>
      <c r="I859">
        <v>44</v>
      </c>
      <c r="J859" s="5">
        <v>6776</v>
      </c>
      <c r="K859" s="4">
        <v>1153</v>
      </c>
      <c r="L859" s="6">
        <v>45675</v>
      </c>
      <c r="M859" s="7">
        <f t="shared" si="39"/>
        <v>7.5339558573853993E-2</v>
      </c>
      <c r="N859" s="7">
        <f t="shared" si="40"/>
        <v>0.12394366197183099</v>
      </c>
      <c r="O859" s="7">
        <f t="shared" si="41"/>
        <v>4.8768430182133562</v>
      </c>
    </row>
    <row r="860" spans="1:15" x14ac:dyDescent="0.35">
      <c r="A860">
        <v>859</v>
      </c>
      <c r="B860">
        <v>37</v>
      </c>
      <c r="C860" t="s">
        <v>19</v>
      </c>
      <c r="D860" t="s">
        <v>13</v>
      </c>
      <c r="E860" t="s">
        <v>25</v>
      </c>
      <c r="F860" t="s">
        <v>22</v>
      </c>
      <c r="G860">
        <v>1424</v>
      </c>
      <c r="H860">
        <v>201</v>
      </c>
      <c r="I860">
        <v>78</v>
      </c>
      <c r="J860" s="5">
        <v>7566</v>
      </c>
      <c r="K860" s="4">
        <v>1112</v>
      </c>
      <c r="L860" s="6">
        <v>45702</v>
      </c>
      <c r="M860" s="7">
        <f t="shared" si="39"/>
        <v>0.14115168539325842</v>
      </c>
      <c r="N860" s="7">
        <f t="shared" si="40"/>
        <v>0.38805970149253732</v>
      </c>
      <c r="O860" s="7">
        <f t="shared" si="41"/>
        <v>5.8039568345323742</v>
      </c>
    </row>
    <row r="861" spans="1:15" x14ac:dyDescent="0.35">
      <c r="A861">
        <v>860</v>
      </c>
      <c r="B861">
        <v>48</v>
      </c>
      <c r="C861" t="s">
        <v>19</v>
      </c>
      <c r="D861" t="s">
        <v>16</v>
      </c>
      <c r="E861" t="s">
        <v>32</v>
      </c>
      <c r="F861" t="s">
        <v>15</v>
      </c>
      <c r="G861">
        <v>2052</v>
      </c>
      <c r="H861">
        <v>122</v>
      </c>
      <c r="I861">
        <v>18</v>
      </c>
      <c r="J861" s="5">
        <v>1944</v>
      </c>
      <c r="K861" s="4">
        <v>1656</v>
      </c>
      <c r="L861" s="6">
        <v>45739</v>
      </c>
      <c r="M861" s="7">
        <f t="shared" si="39"/>
        <v>5.9454191033138398E-2</v>
      </c>
      <c r="N861" s="7">
        <f t="shared" si="40"/>
        <v>0.14754098360655737</v>
      </c>
      <c r="O861" s="7">
        <f t="shared" si="41"/>
        <v>0.17391304347826086</v>
      </c>
    </row>
    <row r="862" spans="1:15" x14ac:dyDescent="0.35">
      <c r="A862">
        <v>861</v>
      </c>
      <c r="B862">
        <v>36</v>
      </c>
      <c r="C862" t="s">
        <v>19</v>
      </c>
      <c r="D862" t="s">
        <v>20</v>
      </c>
      <c r="E862" t="s">
        <v>21</v>
      </c>
      <c r="F862" t="s">
        <v>18</v>
      </c>
      <c r="G862">
        <v>3776</v>
      </c>
      <c r="H862">
        <v>128</v>
      </c>
      <c r="I862">
        <v>31</v>
      </c>
      <c r="J862" s="5">
        <v>5580</v>
      </c>
      <c r="K862" s="4">
        <v>1187</v>
      </c>
      <c r="L862" s="6">
        <v>45709</v>
      </c>
      <c r="M862" s="7">
        <f t="shared" si="39"/>
        <v>3.3898305084745763E-2</v>
      </c>
      <c r="N862" s="7">
        <f t="shared" si="40"/>
        <v>0.2421875</v>
      </c>
      <c r="O862" s="7">
        <f t="shared" si="41"/>
        <v>3.7009267059814657</v>
      </c>
    </row>
    <row r="863" spans="1:15" x14ac:dyDescent="0.35">
      <c r="A863">
        <v>862</v>
      </c>
      <c r="B863">
        <v>35</v>
      </c>
      <c r="C863" t="s">
        <v>19</v>
      </c>
      <c r="D863" t="s">
        <v>16</v>
      </c>
      <c r="E863" t="s">
        <v>25</v>
      </c>
      <c r="F863" t="s">
        <v>31</v>
      </c>
      <c r="G863">
        <v>1677</v>
      </c>
      <c r="H863">
        <v>203</v>
      </c>
      <c r="I863">
        <v>50</v>
      </c>
      <c r="J863" s="5">
        <v>6400</v>
      </c>
      <c r="K863" s="4">
        <v>291</v>
      </c>
      <c r="L863" s="6">
        <v>45660</v>
      </c>
      <c r="M863" s="7">
        <f t="shared" si="39"/>
        <v>0.1210494931425164</v>
      </c>
      <c r="N863" s="7">
        <f t="shared" si="40"/>
        <v>0.24630541871921183</v>
      </c>
      <c r="O863" s="7">
        <f t="shared" si="41"/>
        <v>20.993127147766323</v>
      </c>
    </row>
    <row r="864" spans="1:15" x14ac:dyDescent="0.35">
      <c r="A864">
        <v>863</v>
      </c>
      <c r="B864">
        <v>20</v>
      </c>
      <c r="C864" t="s">
        <v>12</v>
      </c>
      <c r="D864" t="s">
        <v>27</v>
      </c>
      <c r="E864" t="s">
        <v>34</v>
      </c>
      <c r="F864" t="s">
        <v>31</v>
      </c>
      <c r="G864">
        <v>3357</v>
      </c>
      <c r="H864">
        <v>324</v>
      </c>
      <c r="I864">
        <v>21</v>
      </c>
      <c r="J864" s="5">
        <v>2688</v>
      </c>
      <c r="K864" s="4">
        <v>787</v>
      </c>
      <c r="L864" s="6">
        <v>45712</v>
      </c>
      <c r="M864" s="7">
        <f t="shared" si="39"/>
        <v>9.6514745308310987E-2</v>
      </c>
      <c r="N864" s="7">
        <f t="shared" si="40"/>
        <v>6.4814814814814811E-2</v>
      </c>
      <c r="O864" s="7">
        <f t="shared" si="41"/>
        <v>2.4155019059720457</v>
      </c>
    </row>
    <row r="865" spans="1:15" x14ac:dyDescent="0.35">
      <c r="A865">
        <v>864</v>
      </c>
      <c r="B865">
        <v>24</v>
      </c>
      <c r="C865" t="s">
        <v>19</v>
      </c>
      <c r="D865" t="s">
        <v>26</v>
      </c>
      <c r="E865" t="s">
        <v>32</v>
      </c>
      <c r="F865" t="s">
        <v>22</v>
      </c>
      <c r="G865">
        <v>1165</v>
      </c>
      <c r="H865">
        <v>404</v>
      </c>
      <c r="I865">
        <v>76</v>
      </c>
      <c r="J865" s="5">
        <v>13604</v>
      </c>
      <c r="K865" s="4">
        <v>1531</v>
      </c>
      <c r="L865" s="6">
        <v>45673</v>
      </c>
      <c r="M865" s="7">
        <f t="shared" si="39"/>
        <v>0.34678111587982835</v>
      </c>
      <c r="N865" s="7">
        <f t="shared" si="40"/>
        <v>0.18811881188118812</v>
      </c>
      <c r="O865" s="7">
        <f t="shared" si="41"/>
        <v>7.8856956237753106</v>
      </c>
    </row>
    <row r="866" spans="1:15" x14ac:dyDescent="0.35">
      <c r="A866">
        <v>865</v>
      </c>
      <c r="B866">
        <v>42</v>
      </c>
      <c r="C866" t="s">
        <v>12</v>
      </c>
      <c r="D866" t="s">
        <v>23</v>
      </c>
      <c r="E866" t="s">
        <v>21</v>
      </c>
      <c r="F866" t="s">
        <v>22</v>
      </c>
      <c r="G866">
        <v>1712</v>
      </c>
      <c r="H866">
        <v>359</v>
      </c>
      <c r="I866">
        <v>66</v>
      </c>
      <c r="J866" s="5">
        <v>8448</v>
      </c>
      <c r="K866" s="4">
        <v>1352</v>
      </c>
      <c r="L866" s="6">
        <v>45775</v>
      </c>
      <c r="M866" s="7">
        <f t="shared" si="39"/>
        <v>0.20969626168224298</v>
      </c>
      <c r="N866" s="7">
        <f t="shared" si="40"/>
        <v>0.18384401114206128</v>
      </c>
      <c r="O866" s="7">
        <f t="shared" si="41"/>
        <v>5.2485207100591715</v>
      </c>
    </row>
    <row r="867" spans="1:15" x14ac:dyDescent="0.35">
      <c r="A867">
        <v>866</v>
      </c>
      <c r="B867">
        <v>45</v>
      </c>
      <c r="C867" t="s">
        <v>19</v>
      </c>
      <c r="D867" t="s">
        <v>16</v>
      </c>
      <c r="E867" t="s">
        <v>28</v>
      </c>
      <c r="F867" t="s">
        <v>22</v>
      </c>
      <c r="G867">
        <v>3011</v>
      </c>
      <c r="H867">
        <v>193</v>
      </c>
      <c r="I867">
        <v>62</v>
      </c>
      <c r="J867" s="5">
        <v>6696</v>
      </c>
      <c r="K867" s="4">
        <v>1423</v>
      </c>
      <c r="L867" s="6">
        <v>45673</v>
      </c>
      <c r="M867" s="7">
        <f t="shared" si="39"/>
        <v>6.4098306210561271E-2</v>
      </c>
      <c r="N867" s="7">
        <f t="shared" si="40"/>
        <v>0.32124352331606215</v>
      </c>
      <c r="O867" s="7">
        <f t="shared" si="41"/>
        <v>3.7055516514406186</v>
      </c>
    </row>
    <row r="868" spans="1:15" x14ac:dyDescent="0.35">
      <c r="A868">
        <v>867</v>
      </c>
      <c r="B868">
        <v>43</v>
      </c>
      <c r="C868" t="s">
        <v>19</v>
      </c>
      <c r="D868" t="s">
        <v>23</v>
      </c>
      <c r="E868" t="s">
        <v>21</v>
      </c>
      <c r="F868" t="s">
        <v>22</v>
      </c>
      <c r="G868">
        <v>4743</v>
      </c>
      <c r="H868">
        <v>385</v>
      </c>
      <c r="I868">
        <v>75</v>
      </c>
      <c r="J868" s="5">
        <v>11775</v>
      </c>
      <c r="K868" s="4">
        <v>1456</v>
      </c>
      <c r="L868" s="6">
        <v>45735</v>
      </c>
      <c r="M868" s="7">
        <f t="shared" si="39"/>
        <v>8.1172253847775669E-2</v>
      </c>
      <c r="N868" s="7">
        <f t="shared" si="40"/>
        <v>0.19480519480519481</v>
      </c>
      <c r="O868" s="7">
        <f t="shared" si="41"/>
        <v>7.0872252747252746</v>
      </c>
    </row>
    <row r="869" spans="1:15" x14ac:dyDescent="0.35">
      <c r="A869">
        <v>868</v>
      </c>
      <c r="B869">
        <v>37</v>
      </c>
      <c r="C869" t="s">
        <v>19</v>
      </c>
      <c r="D869" t="s">
        <v>26</v>
      </c>
      <c r="E869" t="s">
        <v>24</v>
      </c>
      <c r="F869" t="s">
        <v>18</v>
      </c>
      <c r="G869">
        <v>4794</v>
      </c>
      <c r="H869">
        <v>210</v>
      </c>
      <c r="I869">
        <v>30</v>
      </c>
      <c r="J869" s="5">
        <v>3720</v>
      </c>
      <c r="K869" s="4">
        <v>1344</v>
      </c>
      <c r="L869" s="6">
        <v>45709</v>
      </c>
      <c r="M869" s="7">
        <f t="shared" si="39"/>
        <v>4.3804755944931162E-2</v>
      </c>
      <c r="N869" s="7">
        <f t="shared" si="40"/>
        <v>0.14285714285714285</v>
      </c>
      <c r="O869" s="7">
        <f t="shared" si="41"/>
        <v>1.7678571428571428</v>
      </c>
    </row>
    <row r="870" spans="1:15" x14ac:dyDescent="0.35">
      <c r="A870">
        <v>869</v>
      </c>
      <c r="B870">
        <v>31</v>
      </c>
      <c r="C870" t="s">
        <v>12</v>
      </c>
      <c r="D870" t="s">
        <v>13</v>
      </c>
      <c r="E870" t="s">
        <v>34</v>
      </c>
      <c r="F870" t="s">
        <v>22</v>
      </c>
      <c r="G870">
        <v>567</v>
      </c>
      <c r="H870">
        <v>302</v>
      </c>
      <c r="I870">
        <v>30</v>
      </c>
      <c r="J870" s="5">
        <v>2430</v>
      </c>
      <c r="K870" s="4">
        <v>658</v>
      </c>
      <c r="L870" s="6">
        <v>45669</v>
      </c>
      <c r="M870" s="7">
        <f t="shared" si="39"/>
        <v>0.53262786596119926</v>
      </c>
      <c r="N870" s="7">
        <f t="shared" si="40"/>
        <v>9.9337748344370855E-2</v>
      </c>
      <c r="O870" s="7">
        <f t="shared" si="41"/>
        <v>2.6930091185410334</v>
      </c>
    </row>
    <row r="871" spans="1:15" x14ac:dyDescent="0.35">
      <c r="A871">
        <v>870</v>
      </c>
      <c r="B871">
        <v>51</v>
      </c>
      <c r="C871" t="s">
        <v>19</v>
      </c>
      <c r="D871" t="s">
        <v>27</v>
      </c>
      <c r="E871" t="s">
        <v>21</v>
      </c>
      <c r="F871" t="s">
        <v>15</v>
      </c>
      <c r="G871">
        <v>1055</v>
      </c>
      <c r="H871">
        <v>466</v>
      </c>
      <c r="I871">
        <v>17</v>
      </c>
      <c r="J871" s="5">
        <v>2839</v>
      </c>
      <c r="K871" s="4">
        <v>1813</v>
      </c>
      <c r="L871" s="6">
        <v>45678</v>
      </c>
      <c r="M871" s="7">
        <f t="shared" si="39"/>
        <v>0.44170616113744077</v>
      </c>
      <c r="N871" s="7">
        <f t="shared" si="40"/>
        <v>3.6480686695278972E-2</v>
      </c>
      <c r="O871" s="7">
        <f t="shared" si="41"/>
        <v>0.56591285162713734</v>
      </c>
    </row>
    <row r="872" spans="1:15" x14ac:dyDescent="0.35">
      <c r="A872">
        <v>871</v>
      </c>
      <c r="B872">
        <v>30</v>
      </c>
      <c r="C872" t="s">
        <v>12</v>
      </c>
      <c r="D872" t="s">
        <v>20</v>
      </c>
      <c r="E872" t="s">
        <v>14</v>
      </c>
      <c r="F872" t="s">
        <v>18</v>
      </c>
      <c r="G872">
        <v>2459</v>
      </c>
      <c r="H872">
        <v>115</v>
      </c>
      <c r="I872">
        <v>77</v>
      </c>
      <c r="J872" s="5">
        <v>12166</v>
      </c>
      <c r="K872" s="4">
        <v>286</v>
      </c>
      <c r="L872" s="6">
        <v>45738</v>
      </c>
      <c r="M872" s="7">
        <f t="shared" si="39"/>
        <v>4.6766978446522979E-2</v>
      </c>
      <c r="N872" s="7">
        <f t="shared" si="40"/>
        <v>0.66956521739130437</v>
      </c>
      <c r="O872" s="7">
        <f t="shared" si="41"/>
        <v>41.53846153846154</v>
      </c>
    </row>
    <row r="873" spans="1:15" x14ac:dyDescent="0.35">
      <c r="A873">
        <v>872</v>
      </c>
      <c r="B873">
        <v>29</v>
      </c>
      <c r="C873" t="s">
        <v>12</v>
      </c>
      <c r="D873" t="s">
        <v>16</v>
      </c>
      <c r="E873" t="s">
        <v>17</v>
      </c>
      <c r="F873" t="s">
        <v>15</v>
      </c>
      <c r="G873">
        <v>1799</v>
      </c>
      <c r="H873">
        <v>236</v>
      </c>
      <c r="I873">
        <v>50</v>
      </c>
      <c r="J873" s="5">
        <v>6700</v>
      </c>
      <c r="K873" s="4">
        <v>1098</v>
      </c>
      <c r="L873" s="6">
        <v>45723</v>
      </c>
      <c r="M873" s="7">
        <f t="shared" si="39"/>
        <v>0.1311839911061701</v>
      </c>
      <c r="N873" s="7">
        <f t="shared" si="40"/>
        <v>0.21186440677966101</v>
      </c>
      <c r="O873" s="7">
        <f t="shared" si="41"/>
        <v>5.10200364298725</v>
      </c>
    </row>
    <row r="874" spans="1:15" x14ac:dyDescent="0.35">
      <c r="A874">
        <v>873</v>
      </c>
      <c r="B874">
        <v>23</v>
      </c>
      <c r="C874" t="s">
        <v>19</v>
      </c>
      <c r="D874" t="s">
        <v>26</v>
      </c>
      <c r="E874" t="s">
        <v>32</v>
      </c>
      <c r="F874" t="s">
        <v>15</v>
      </c>
      <c r="G874">
        <v>2035</v>
      </c>
      <c r="H874">
        <v>149</v>
      </c>
      <c r="I874">
        <v>20</v>
      </c>
      <c r="J874" s="5">
        <v>2260</v>
      </c>
      <c r="K874" s="4">
        <v>1562</v>
      </c>
      <c r="L874" s="6">
        <v>45679</v>
      </c>
      <c r="M874" s="7">
        <f t="shared" si="39"/>
        <v>7.3218673218673216E-2</v>
      </c>
      <c r="N874" s="7">
        <f t="shared" si="40"/>
        <v>0.13422818791946309</v>
      </c>
      <c r="O874" s="7">
        <f t="shared" si="41"/>
        <v>0.44686299615877079</v>
      </c>
    </row>
    <row r="875" spans="1:15" x14ac:dyDescent="0.35">
      <c r="A875">
        <v>874</v>
      </c>
      <c r="B875">
        <v>47</v>
      </c>
      <c r="C875" t="s">
        <v>19</v>
      </c>
      <c r="D875" t="s">
        <v>13</v>
      </c>
      <c r="E875" t="s">
        <v>25</v>
      </c>
      <c r="F875" t="s">
        <v>18</v>
      </c>
      <c r="G875">
        <v>3589</v>
      </c>
      <c r="H875">
        <v>61</v>
      </c>
      <c r="I875">
        <v>56</v>
      </c>
      <c r="J875" s="5">
        <v>11032</v>
      </c>
      <c r="K875" s="4">
        <v>322</v>
      </c>
      <c r="L875" s="6">
        <v>45708</v>
      </c>
      <c r="M875" s="7">
        <f t="shared" si="39"/>
        <v>1.6996377821120089E-2</v>
      </c>
      <c r="N875" s="7">
        <f t="shared" si="40"/>
        <v>0.91803278688524592</v>
      </c>
      <c r="O875" s="7">
        <f t="shared" si="41"/>
        <v>33.260869565217391</v>
      </c>
    </row>
    <row r="876" spans="1:15" x14ac:dyDescent="0.35">
      <c r="A876">
        <v>875</v>
      </c>
      <c r="B876">
        <v>54</v>
      </c>
      <c r="C876" t="s">
        <v>12</v>
      </c>
      <c r="D876" t="s">
        <v>16</v>
      </c>
      <c r="E876" t="s">
        <v>14</v>
      </c>
      <c r="F876" t="s">
        <v>18</v>
      </c>
      <c r="G876">
        <v>2297</v>
      </c>
      <c r="H876">
        <v>133</v>
      </c>
      <c r="I876">
        <v>31</v>
      </c>
      <c r="J876" s="5">
        <v>5766</v>
      </c>
      <c r="K876" s="4">
        <v>764</v>
      </c>
      <c r="L876" s="6">
        <v>45716</v>
      </c>
      <c r="M876" s="7">
        <f t="shared" si="39"/>
        <v>5.7901610796691337E-2</v>
      </c>
      <c r="N876" s="7">
        <f t="shared" si="40"/>
        <v>0.23308270676691728</v>
      </c>
      <c r="O876" s="7">
        <f t="shared" si="41"/>
        <v>6.5471204188481673</v>
      </c>
    </row>
    <row r="877" spans="1:15" x14ac:dyDescent="0.35">
      <c r="A877">
        <v>876</v>
      </c>
      <c r="B877">
        <v>22</v>
      </c>
      <c r="C877" t="s">
        <v>19</v>
      </c>
      <c r="D877" t="s">
        <v>26</v>
      </c>
      <c r="E877" t="s">
        <v>14</v>
      </c>
      <c r="F877" t="s">
        <v>31</v>
      </c>
      <c r="G877">
        <v>3640</v>
      </c>
      <c r="H877">
        <v>60</v>
      </c>
      <c r="I877">
        <v>19</v>
      </c>
      <c r="J877" s="5">
        <v>1558</v>
      </c>
      <c r="K877" s="4">
        <v>391</v>
      </c>
      <c r="L877" s="6">
        <v>45710</v>
      </c>
      <c r="M877" s="7">
        <f t="shared" si="39"/>
        <v>1.6483516483516484E-2</v>
      </c>
      <c r="N877" s="7">
        <f t="shared" si="40"/>
        <v>0.31666666666666665</v>
      </c>
      <c r="O877" s="7">
        <f t="shared" si="41"/>
        <v>2.9846547314578005</v>
      </c>
    </row>
    <row r="878" spans="1:15" x14ac:dyDescent="0.35">
      <c r="A878">
        <v>877</v>
      </c>
      <c r="B878">
        <v>23</v>
      </c>
      <c r="C878" t="s">
        <v>12</v>
      </c>
      <c r="D878" t="s">
        <v>26</v>
      </c>
      <c r="E878" t="s">
        <v>34</v>
      </c>
      <c r="F878" t="s">
        <v>18</v>
      </c>
      <c r="G878">
        <v>3864</v>
      </c>
      <c r="H878">
        <v>58</v>
      </c>
      <c r="I878">
        <v>19</v>
      </c>
      <c r="J878" s="5">
        <v>3268</v>
      </c>
      <c r="K878" s="4">
        <v>1610</v>
      </c>
      <c r="L878" s="6">
        <v>45683</v>
      </c>
      <c r="M878" s="7">
        <f t="shared" si="39"/>
        <v>1.5010351966873706E-2</v>
      </c>
      <c r="N878" s="7">
        <f t="shared" si="40"/>
        <v>0.32758620689655171</v>
      </c>
      <c r="O878" s="7">
        <f t="shared" si="41"/>
        <v>1.0298136645962732</v>
      </c>
    </row>
    <row r="879" spans="1:15" x14ac:dyDescent="0.35">
      <c r="A879">
        <v>878</v>
      </c>
      <c r="B879">
        <v>41</v>
      </c>
      <c r="C879" t="s">
        <v>19</v>
      </c>
      <c r="D879" t="s">
        <v>26</v>
      </c>
      <c r="E879" t="s">
        <v>24</v>
      </c>
      <c r="F879" t="s">
        <v>22</v>
      </c>
      <c r="G879">
        <v>1672</v>
      </c>
      <c r="H879">
        <v>426</v>
      </c>
      <c r="I879">
        <v>15</v>
      </c>
      <c r="J879" s="5">
        <v>2265</v>
      </c>
      <c r="K879" s="4">
        <v>621</v>
      </c>
      <c r="L879" s="6">
        <v>45776</v>
      </c>
      <c r="M879" s="7">
        <f t="shared" si="39"/>
        <v>0.25478468899521534</v>
      </c>
      <c r="N879" s="7">
        <f t="shared" si="40"/>
        <v>3.5211267605633804E-2</v>
      </c>
      <c r="O879" s="7">
        <f t="shared" si="41"/>
        <v>2.6473429951690823</v>
      </c>
    </row>
    <row r="880" spans="1:15" x14ac:dyDescent="0.35">
      <c r="A880">
        <v>879</v>
      </c>
      <c r="B880">
        <v>51</v>
      </c>
      <c r="C880" t="s">
        <v>12</v>
      </c>
      <c r="D880" t="s">
        <v>27</v>
      </c>
      <c r="E880" t="s">
        <v>30</v>
      </c>
      <c r="F880" t="s">
        <v>15</v>
      </c>
      <c r="G880">
        <v>4097</v>
      </c>
      <c r="H880">
        <v>63</v>
      </c>
      <c r="I880">
        <v>14</v>
      </c>
      <c r="J880" s="5">
        <v>1638</v>
      </c>
      <c r="K880" s="4">
        <v>1875</v>
      </c>
      <c r="L880" s="6">
        <v>45667</v>
      </c>
      <c r="M880" s="7">
        <f t="shared" si="39"/>
        <v>1.5377105198926043E-2</v>
      </c>
      <c r="N880" s="7">
        <f t="shared" si="40"/>
        <v>0.22222222222222221</v>
      </c>
      <c r="O880" s="7">
        <f t="shared" si="41"/>
        <v>-0.12640000000000001</v>
      </c>
    </row>
    <row r="881" spans="1:15" x14ac:dyDescent="0.35">
      <c r="A881">
        <v>880</v>
      </c>
      <c r="B881">
        <v>18</v>
      </c>
      <c r="C881" t="s">
        <v>19</v>
      </c>
      <c r="D881" t="s">
        <v>13</v>
      </c>
      <c r="E881" t="s">
        <v>14</v>
      </c>
      <c r="F881" t="s">
        <v>18</v>
      </c>
      <c r="G881">
        <v>2436</v>
      </c>
      <c r="H881">
        <v>194</v>
      </c>
      <c r="I881">
        <v>71</v>
      </c>
      <c r="J881" s="5">
        <v>12354</v>
      </c>
      <c r="K881" s="4">
        <v>1157</v>
      </c>
      <c r="L881" s="6">
        <v>45661</v>
      </c>
      <c r="M881" s="7">
        <f t="shared" si="39"/>
        <v>7.9638752052545156E-2</v>
      </c>
      <c r="N881" s="7">
        <f t="shared" si="40"/>
        <v>0.36597938144329895</v>
      </c>
      <c r="O881" s="7">
        <f t="shared" si="41"/>
        <v>9.677614520311149</v>
      </c>
    </row>
    <row r="882" spans="1:15" x14ac:dyDescent="0.35">
      <c r="A882">
        <v>881</v>
      </c>
      <c r="B882">
        <v>36</v>
      </c>
      <c r="C882" t="s">
        <v>12</v>
      </c>
      <c r="D882" t="s">
        <v>20</v>
      </c>
      <c r="E882" t="s">
        <v>33</v>
      </c>
      <c r="F882" t="s">
        <v>22</v>
      </c>
      <c r="G882">
        <v>3485</v>
      </c>
      <c r="H882">
        <v>446</v>
      </c>
      <c r="I882">
        <v>8</v>
      </c>
      <c r="J882" s="5">
        <v>1184</v>
      </c>
      <c r="K882" s="4">
        <v>1049</v>
      </c>
      <c r="L882" s="6">
        <v>45669</v>
      </c>
      <c r="M882" s="7">
        <f t="shared" si="39"/>
        <v>0.12797704447632713</v>
      </c>
      <c r="N882" s="7">
        <f t="shared" si="40"/>
        <v>1.7937219730941704E-2</v>
      </c>
      <c r="O882" s="7">
        <f t="shared" si="41"/>
        <v>0.12869399428026693</v>
      </c>
    </row>
    <row r="883" spans="1:15" x14ac:dyDescent="0.35">
      <c r="A883">
        <v>882</v>
      </c>
      <c r="B883">
        <v>28</v>
      </c>
      <c r="C883" t="s">
        <v>19</v>
      </c>
      <c r="D883" t="s">
        <v>16</v>
      </c>
      <c r="E883" t="s">
        <v>30</v>
      </c>
      <c r="F883" t="s">
        <v>22</v>
      </c>
      <c r="G883">
        <v>829</v>
      </c>
      <c r="H883">
        <v>403</v>
      </c>
      <c r="I883">
        <v>10</v>
      </c>
      <c r="J883" s="5">
        <v>1300</v>
      </c>
      <c r="K883" s="4">
        <v>591</v>
      </c>
      <c r="L883" s="6">
        <v>45669</v>
      </c>
      <c r="M883" s="7">
        <f t="shared" si="39"/>
        <v>0.48612786489746684</v>
      </c>
      <c r="N883" s="7">
        <f t="shared" si="40"/>
        <v>2.4813895781637719E-2</v>
      </c>
      <c r="O883" s="7">
        <f t="shared" si="41"/>
        <v>1.1996615905245347</v>
      </c>
    </row>
    <row r="884" spans="1:15" x14ac:dyDescent="0.35">
      <c r="A884">
        <v>883</v>
      </c>
      <c r="B884">
        <v>53</v>
      </c>
      <c r="C884" t="s">
        <v>19</v>
      </c>
      <c r="D884" t="s">
        <v>27</v>
      </c>
      <c r="E884" t="s">
        <v>21</v>
      </c>
      <c r="F884" t="s">
        <v>22</v>
      </c>
      <c r="G884">
        <v>3067</v>
      </c>
      <c r="H884">
        <v>299</v>
      </c>
      <c r="I884">
        <v>15</v>
      </c>
      <c r="J884" s="5">
        <v>1980</v>
      </c>
      <c r="K884" s="4">
        <v>835</v>
      </c>
      <c r="L884" s="6">
        <v>45742</v>
      </c>
      <c r="M884" s="7">
        <f t="shared" si="39"/>
        <v>9.7489403325725463E-2</v>
      </c>
      <c r="N884" s="7">
        <f t="shared" si="40"/>
        <v>5.016722408026756E-2</v>
      </c>
      <c r="O884" s="7">
        <f t="shared" si="41"/>
        <v>1.3712574850299402</v>
      </c>
    </row>
    <row r="885" spans="1:15" x14ac:dyDescent="0.35">
      <c r="A885">
        <v>884</v>
      </c>
      <c r="B885">
        <v>29</v>
      </c>
      <c r="C885" t="s">
        <v>12</v>
      </c>
      <c r="D885" t="s">
        <v>23</v>
      </c>
      <c r="E885" t="s">
        <v>28</v>
      </c>
      <c r="F885" t="s">
        <v>22</v>
      </c>
      <c r="G885">
        <v>2759</v>
      </c>
      <c r="H885">
        <v>161</v>
      </c>
      <c r="I885">
        <v>12</v>
      </c>
      <c r="J885" s="5">
        <v>2064</v>
      </c>
      <c r="K885" s="4">
        <v>1003</v>
      </c>
      <c r="L885" s="6">
        <v>45771</v>
      </c>
      <c r="M885" s="7">
        <f t="shared" si="39"/>
        <v>5.8354476259514315E-2</v>
      </c>
      <c r="N885" s="7">
        <f t="shared" si="40"/>
        <v>7.4534161490683232E-2</v>
      </c>
      <c r="O885" s="7">
        <f t="shared" si="41"/>
        <v>1.0578265204386839</v>
      </c>
    </row>
    <row r="886" spans="1:15" x14ac:dyDescent="0.35">
      <c r="A886">
        <v>885</v>
      </c>
      <c r="B886">
        <v>37</v>
      </c>
      <c r="C886" t="s">
        <v>12</v>
      </c>
      <c r="D886" t="s">
        <v>27</v>
      </c>
      <c r="E886" t="s">
        <v>17</v>
      </c>
      <c r="F886" t="s">
        <v>31</v>
      </c>
      <c r="G886">
        <v>1353</v>
      </c>
      <c r="H886">
        <v>198</v>
      </c>
      <c r="I886">
        <v>54</v>
      </c>
      <c r="J886" s="5">
        <v>6372</v>
      </c>
      <c r="K886" s="4">
        <v>677</v>
      </c>
      <c r="L886" s="6">
        <v>45744</v>
      </c>
      <c r="M886" s="7">
        <f t="shared" si="39"/>
        <v>0.14634146341463414</v>
      </c>
      <c r="N886" s="7">
        <f t="shared" si="40"/>
        <v>0.27272727272727271</v>
      </c>
      <c r="O886" s="7">
        <f t="shared" si="41"/>
        <v>8.4121122599704581</v>
      </c>
    </row>
    <row r="887" spans="1:15" x14ac:dyDescent="0.35">
      <c r="A887">
        <v>886</v>
      </c>
      <c r="B887">
        <v>39</v>
      </c>
      <c r="C887" t="s">
        <v>12</v>
      </c>
      <c r="D887" t="s">
        <v>26</v>
      </c>
      <c r="E887" t="s">
        <v>21</v>
      </c>
      <c r="F887" t="s">
        <v>15</v>
      </c>
      <c r="G887">
        <v>4730</v>
      </c>
      <c r="H887">
        <v>442</v>
      </c>
      <c r="I887">
        <v>5</v>
      </c>
      <c r="J887" s="5">
        <v>585</v>
      </c>
      <c r="K887" s="4">
        <v>609</v>
      </c>
      <c r="L887" s="6">
        <v>45776</v>
      </c>
      <c r="M887" s="7">
        <f t="shared" si="39"/>
        <v>9.3446088794926011E-2</v>
      </c>
      <c r="N887" s="7">
        <f t="shared" si="40"/>
        <v>1.1312217194570135E-2</v>
      </c>
      <c r="O887" s="7">
        <f t="shared" si="41"/>
        <v>-3.9408866995073892E-2</v>
      </c>
    </row>
    <row r="888" spans="1:15" x14ac:dyDescent="0.35">
      <c r="A888">
        <v>887</v>
      </c>
      <c r="B888">
        <v>41</v>
      </c>
      <c r="C888" t="s">
        <v>12</v>
      </c>
      <c r="D888" t="s">
        <v>16</v>
      </c>
      <c r="E888" t="s">
        <v>24</v>
      </c>
      <c r="F888" t="s">
        <v>15</v>
      </c>
      <c r="G888">
        <v>1969</v>
      </c>
      <c r="H888">
        <v>427</v>
      </c>
      <c r="I888">
        <v>10</v>
      </c>
      <c r="J888" s="5">
        <v>1300</v>
      </c>
      <c r="K888" s="4">
        <v>1880</v>
      </c>
      <c r="L888" s="6">
        <v>45667</v>
      </c>
      <c r="M888" s="7">
        <f t="shared" si="39"/>
        <v>0.21686135093956324</v>
      </c>
      <c r="N888" s="7">
        <f t="shared" si="40"/>
        <v>2.3419203747072601E-2</v>
      </c>
      <c r="O888" s="7">
        <f t="shared" si="41"/>
        <v>-0.30851063829787234</v>
      </c>
    </row>
    <row r="889" spans="1:15" x14ac:dyDescent="0.35">
      <c r="A889">
        <v>888</v>
      </c>
      <c r="B889">
        <v>41</v>
      </c>
      <c r="C889" t="s">
        <v>12</v>
      </c>
      <c r="D889" t="s">
        <v>27</v>
      </c>
      <c r="E889" t="s">
        <v>34</v>
      </c>
      <c r="F889" t="s">
        <v>22</v>
      </c>
      <c r="G889">
        <v>569</v>
      </c>
      <c r="H889">
        <v>390</v>
      </c>
      <c r="I889">
        <v>61</v>
      </c>
      <c r="J889" s="5">
        <v>7198</v>
      </c>
      <c r="K889" s="4">
        <v>1605</v>
      </c>
      <c r="L889" s="6">
        <v>45716</v>
      </c>
      <c r="M889" s="7">
        <f t="shared" si="39"/>
        <v>0.68541300527240778</v>
      </c>
      <c r="N889" s="7">
        <f t="shared" si="40"/>
        <v>0.15641025641025641</v>
      </c>
      <c r="O889" s="7">
        <f t="shared" si="41"/>
        <v>3.484735202492212</v>
      </c>
    </row>
    <row r="890" spans="1:15" x14ac:dyDescent="0.35">
      <c r="A890">
        <v>889</v>
      </c>
      <c r="B890">
        <v>27</v>
      </c>
      <c r="C890" t="s">
        <v>12</v>
      </c>
      <c r="D890" t="s">
        <v>26</v>
      </c>
      <c r="E890" t="s">
        <v>30</v>
      </c>
      <c r="F890" t="s">
        <v>18</v>
      </c>
      <c r="G890">
        <v>3279</v>
      </c>
      <c r="H890">
        <v>362</v>
      </c>
      <c r="I890">
        <v>52</v>
      </c>
      <c r="J890" s="5">
        <v>5512</v>
      </c>
      <c r="K890" s="4">
        <v>1521</v>
      </c>
      <c r="L890" s="6">
        <v>45709</v>
      </c>
      <c r="M890" s="7">
        <f t="shared" si="39"/>
        <v>0.11039951204635559</v>
      </c>
      <c r="N890" s="7">
        <f t="shared" si="40"/>
        <v>0.143646408839779</v>
      </c>
      <c r="O890" s="7">
        <f t="shared" si="41"/>
        <v>2.6239316239316239</v>
      </c>
    </row>
    <row r="891" spans="1:15" x14ac:dyDescent="0.35">
      <c r="A891">
        <v>890</v>
      </c>
      <c r="B891">
        <v>40</v>
      </c>
      <c r="C891" t="s">
        <v>12</v>
      </c>
      <c r="D891" t="s">
        <v>20</v>
      </c>
      <c r="E891" t="s">
        <v>14</v>
      </c>
      <c r="F891" t="s">
        <v>31</v>
      </c>
      <c r="G891">
        <v>4365</v>
      </c>
      <c r="H891">
        <v>74</v>
      </c>
      <c r="I891">
        <v>79</v>
      </c>
      <c r="J891" s="5">
        <v>13983</v>
      </c>
      <c r="K891" s="4">
        <v>990</v>
      </c>
      <c r="L891" s="6">
        <v>45761</v>
      </c>
      <c r="M891" s="7">
        <f t="shared" si="39"/>
        <v>1.6953035509736539E-2</v>
      </c>
      <c r="N891" s="7">
        <f t="shared" si="40"/>
        <v>1.0675675675675675</v>
      </c>
      <c r="O891" s="7">
        <f t="shared" si="41"/>
        <v>13.124242424242425</v>
      </c>
    </row>
    <row r="892" spans="1:15" x14ac:dyDescent="0.35">
      <c r="A892">
        <v>891</v>
      </c>
      <c r="B892">
        <v>50</v>
      </c>
      <c r="C892" t="s">
        <v>12</v>
      </c>
      <c r="D892" t="s">
        <v>23</v>
      </c>
      <c r="E892" t="s">
        <v>25</v>
      </c>
      <c r="F892" t="s">
        <v>22</v>
      </c>
      <c r="G892">
        <v>4884</v>
      </c>
      <c r="H892">
        <v>262</v>
      </c>
      <c r="I892">
        <v>6</v>
      </c>
      <c r="J892" s="5">
        <v>756</v>
      </c>
      <c r="K892" s="4">
        <v>729</v>
      </c>
      <c r="L892" s="6">
        <v>45755</v>
      </c>
      <c r="M892" s="7">
        <f t="shared" si="39"/>
        <v>5.3644553644553644E-2</v>
      </c>
      <c r="N892" s="7">
        <f t="shared" si="40"/>
        <v>2.2900763358778626E-2</v>
      </c>
      <c r="O892" s="7">
        <f t="shared" si="41"/>
        <v>3.7037037037037035E-2</v>
      </c>
    </row>
    <row r="893" spans="1:15" x14ac:dyDescent="0.35">
      <c r="A893">
        <v>892</v>
      </c>
      <c r="B893">
        <v>35</v>
      </c>
      <c r="C893" t="s">
        <v>12</v>
      </c>
      <c r="D893" t="s">
        <v>27</v>
      </c>
      <c r="E893" t="s">
        <v>17</v>
      </c>
      <c r="F893" t="s">
        <v>29</v>
      </c>
      <c r="G893">
        <v>1095</v>
      </c>
      <c r="H893">
        <v>340</v>
      </c>
      <c r="I893">
        <v>55</v>
      </c>
      <c r="J893" s="5">
        <v>10835</v>
      </c>
      <c r="K893" s="4">
        <v>1081</v>
      </c>
      <c r="L893" s="6">
        <v>45729</v>
      </c>
      <c r="M893" s="7">
        <f t="shared" si="39"/>
        <v>0.31050228310502281</v>
      </c>
      <c r="N893" s="7">
        <f t="shared" si="40"/>
        <v>0.16176470588235295</v>
      </c>
      <c r="O893" s="7">
        <f t="shared" si="41"/>
        <v>9.0231267345050874</v>
      </c>
    </row>
    <row r="894" spans="1:15" x14ac:dyDescent="0.35">
      <c r="A894">
        <v>893</v>
      </c>
      <c r="B894">
        <v>40</v>
      </c>
      <c r="C894" t="s">
        <v>19</v>
      </c>
      <c r="D894" t="s">
        <v>16</v>
      </c>
      <c r="E894" t="s">
        <v>32</v>
      </c>
      <c r="F894" t="s">
        <v>31</v>
      </c>
      <c r="G894">
        <v>4464</v>
      </c>
      <c r="H894">
        <v>79</v>
      </c>
      <c r="I894">
        <v>48</v>
      </c>
      <c r="J894" s="5">
        <v>4272</v>
      </c>
      <c r="K894" s="4">
        <v>508</v>
      </c>
      <c r="L894" s="6">
        <v>45706</v>
      </c>
      <c r="M894" s="7">
        <f t="shared" si="39"/>
        <v>1.7697132616487456E-2</v>
      </c>
      <c r="N894" s="7">
        <f t="shared" si="40"/>
        <v>0.60759493670886078</v>
      </c>
      <c r="O894" s="7">
        <f t="shared" si="41"/>
        <v>7.409448818897638</v>
      </c>
    </row>
    <row r="895" spans="1:15" x14ac:dyDescent="0.35">
      <c r="A895">
        <v>894</v>
      </c>
      <c r="B895">
        <v>50</v>
      </c>
      <c r="C895" t="s">
        <v>12</v>
      </c>
      <c r="D895" t="s">
        <v>27</v>
      </c>
      <c r="E895" t="s">
        <v>17</v>
      </c>
      <c r="F895" t="s">
        <v>29</v>
      </c>
      <c r="G895">
        <v>638</v>
      </c>
      <c r="H895">
        <v>243</v>
      </c>
      <c r="I895">
        <v>62</v>
      </c>
      <c r="J895" s="5">
        <v>7130</v>
      </c>
      <c r="K895" s="4">
        <v>1441</v>
      </c>
      <c r="L895" s="6">
        <v>45746</v>
      </c>
      <c r="M895" s="7">
        <f t="shared" si="39"/>
        <v>0.38087774294670845</v>
      </c>
      <c r="N895" s="7">
        <f t="shared" si="40"/>
        <v>0.2551440329218107</v>
      </c>
      <c r="O895" s="7">
        <f t="shared" si="41"/>
        <v>3.9479528105482302</v>
      </c>
    </row>
    <row r="896" spans="1:15" x14ac:dyDescent="0.35">
      <c r="A896">
        <v>895</v>
      </c>
      <c r="B896">
        <v>33</v>
      </c>
      <c r="C896" t="s">
        <v>12</v>
      </c>
      <c r="D896" t="s">
        <v>27</v>
      </c>
      <c r="E896" t="s">
        <v>34</v>
      </c>
      <c r="F896" t="s">
        <v>22</v>
      </c>
      <c r="G896">
        <v>3613</v>
      </c>
      <c r="H896">
        <v>452</v>
      </c>
      <c r="I896">
        <v>23</v>
      </c>
      <c r="J896" s="5">
        <v>2346</v>
      </c>
      <c r="K896" s="4">
        <v>1153</v>
      </c>
      <c r="L896" s="6">
        <v>45669</v>
      </c>
      <c r="M896" s="7">
        <f t="shared" si="39"/>
        <v>0.12510379186271797</v>
      </c>
      <c r="N896" s="7">
        <f t="shared" si="40"/>
        <v>5.0884955752212392E-2</v>
      </c>
      <c r="O896" s="7">
        <f t="shared" si="41"/>
        <v>1.0346921075455333</v>
      </c>
    </row>
    <row r="897" spans="1:15" x14ac:dyDescent="0.35">
      <c r="A897">
        <v>896</v>
      </c>
      <c r="B897">
        <v>22</v>
      </c>
      <c r="C897" t="s">
        <v>12</v>
      </c>
      <c r="D897" t="s">
        <v>13</v>
      </c>
      <c r="E897" t="s">
        <v>21</v>
      </c>
      <c r="F897" t="s">
        <v>18</v>
      </c>
      <c r="G897">
        <v>1045</v>
      </c>
      <c r="H897">
        <v>358</v>
      </c>
      <c r="I897">
        <v>12</v>
      </c>
      <c r="J897" s="5">
        <v>1632</v>
      </c>
      <c r="K897" s="4">
        <v>1753</v>
      </c>
      <c r="L897" s="6">
        <v>45687</v>
      </c>
      <c r="M897" s="7">
        <f t="shared" si="39"/>
        <v>0.34258373205741627</v>
      </c>
      <c r="N897" s="7">
        <f t="shared" si="40"/>
        <v>3.3519553072625698E-2</v>
      </c>
      <c r="O897" s="7">
        <f t="shared" si="41"/>
        <v>-6.9024529378208785E-2</v>
      </c>
    </row>
    <row r="898" spans="1:15" x14ac:dyDescent="0.35">
      <c r="A898">
        <v>897</v>
      </c>
      <c r="B898">
        <v>29</v>
      </c>
      <c r="C898" t="s">
        <v>19</v>
      </c>
      <c r="D898" t="s">
        <v>23</v>
      </c>
      <c r="E898" t="s">
        <v>33</v>
      </c>
      <c r="F898" t="s">
        <v>15</v>
      </c>
      <c r="G898">
        <v>3753</v>
      </c>
      <c r="H898">
        <v>62</v>
      </c>
      <c r="I898">
        <v>33</v>
      </c>
      <c r="J898" s="5">
        <v>5577</v>
      </c>
      <c r="K898" s="4">
        <v>1482</v>
      </c>
      <c r="L898" s="6">
        <v>45732</v>
      </c>
      <c r="M898" s="7">
        <f t="shared" si="39"/>
        <v>1.65201172395417E-2</v>
      </c>
      <c r="N898" s="7">
        <f t="shared" si="40"/>
        <v>0.532258064516129</v>
      </c>
      <c r="O898" s="7">
        <f t="shared" si="41"/>
        <v>2.763157894736842</v>
      </c>
    </row>
    <row r="899" spans="1:15" x14ac:dyDescent="0.35">
      <c r="A899">
        <v>898</v>
      </c>
      <c r="B899">
        <v>24</v>
      </c>
      <c r="C899" t="s">
        <v>12</v>
      </c>
      <c r="D899" t="s">
        <v>20</v>
      </c>
      <c r="E899" t="s">
        <v>21</v>
      </c>
      <c r="F899" t="s">
        <v>15</v>
      </c>
      <c r="G899">
        <v>1631</v>
      </c>
      <c r="H899">
        <v>205</v>
      </c>
      <c r="I899">
        <v>6</v>
      </c>
      <c r="J899" s="5">
        <v>1080</v>
      </c>
      <c r="K899" s="4">
        <v>838</v>
      </c>
      <c r="L899" s="6">
        <v>45747</v>
      </c>
      <c r="M899" s="7">
        <f t="shared" ref="M899:M962" si="42">H899/G899</f>
        <v>0.12568976088289394</v>
      </c>
      <c r="N899" s="7">
        <f t="shared" ref="N899:N962" si="43">I899/H899</f>
        <v>2.9268292682926831E-2</v>
      </c>
      <c r="O899" s="7">
        <f t="shared" ref="O899:O962" si="44">(J899-K899)/K899</f>
        <v>0.28878281622911695</v>
      </c>
    </row>
    <row r="900" spans="1:15" x14ac:dyDescent="0.35">
      <c r="A900">
        <v>899</v>
      </c>
      <c r="B900">
        <v>26</v>
      </c>
      <c r="C900" t="s">
        <v>12</v>
      </c>
      <c r="D900" t="s">
        <v>13</v>
      </c>
      <c r="E900" t="s">
        <v>25</v>
      </c>
      <c r="F900" t="s">
        <v>31</v>
      </c>
      <c r="G900">
        <v>3659</v>
      </c>
      <c r="H900">
        <v>253</v>
      </c>
      <c r="I900">
        <v>20</v>
      </c>
      <c r="J900" s="5">
        <v>2380</v>
      </c>
      <c r="K900" s="4">
        <v>1374</v>
      </c>
      <c r="L900" s="6">
        <v>45670</v>
      </c>
      <c r="M900" s="7">
        <f t="shared" si="42"/>
        <v>6.9144575020497409E-2</v>
      </c>
      <c r="N900" s="7">
        <f t="shared" si="43"/>
        <v>7.9051383399209488E-2</v>
      </c>
      <c r="O900" s="7">
        <f t="shared" si="44"/>
        <v>0.73216885007278021</v>
      </c>
    </row>
    <row r="901" spans="1:15" x14ac:dyDescent="0.35">
      <c r="A901">
        <v>900</v>
      </c>
      <c r="B901">
        <v>32</v>
      </c>
      <c r="C901" t="s">
        <v>12</v>
      </c>
      <c r="D901" t="s">
        <v>16</v>
      </c>
      <c r="E901" t="s">
        <v>21</v>
      </c>
      <c r="F901" t="s">
        <v>15</v>
      </c>
      <c r="G901">
        <v>3901</v>
      </c>
      <c r="H901">
        <v>357</v>
      </c>
      <c r="I901">
        <v>45</v>
      </c>
      <c r="J901" s="5">
        <v>8505</v>
      </c>
      <c r="K901" s="4">
        <v>1916</v>
      </c>
      <c r="L901" s="6">
        <v>45777</v>
      </c>
      <c r="M901" s="7">
        <f t="shared" si="42"/>
        <v>9.1514996154832093E-2</v>
      </c>
      <c r="N901" s="7">
        <f t="shared" si="43"/>
        <v>0.12605042016806722</v>
      </c>
      <c r="O901" s="7">
        <f t="shared" si="44"/>
        <v>3.4389352818371606</v>
      </c>
    </row>
    <row r="902" spans="1:15" x14ac:dyDescent="0.35">
      <c r="A902">
        <v>901</v>
      </c>
      <c r="B902">
        <v>32</v>
      </c>
      <c r="C902" t="s">
        <v>12</v>
      </c>
      <c r="D902" t="s">
        <v>27</v>
      </c>
      <c r="E902" t="s">
        <v>32</v>
      </c>
      <c r="F902" t="s">
        <v>15</v>
      </c>
      <c r="G902">
        <v>2298</v>
      </c>
      <c r="H902">
        <v>89</v>
      </c>
      <c r="I902">
        <v>32</v>
      </c>
      <c r="J902" s="5">
        <v>5696</v>
      </c>
      <c r="K902" s="4">
        <v>615</v>
      </c>
      <c r="L902" s="6">
        <v>45742</v>
      </c>
      <c r="M902" s="7">
        <f t="shared" si="42"/>
        <v>3.8729329852045254E-2</v>
      </c>
      <c r="N902" s="7">
        <f t="shared" si="43"/>
        <v>0.3595505617977528</v>
      </c>
      <c r="O902" s="7">
        <f t="shared" si="44"/>
        <v>8.2617886178861788</v>
      </c>
    </row>
    <row r="903" spans="1:15" x14ac:dyDescent="0.35">
      <c r="A903">
        <v>902</v>
      </c>
      <c r="B903">
        <v>43</v>
      </c>
      <c r="C903" t="s">
        <v>12</v>
      </c>
      <c r="D903" t="s">
        <v>20</v>
      </c>
      <c r="E903" t="s">
        <v>25</v>
      </c>
      <c r="F903" t="s">
        <v>18</v>
      </c>
      <c r="G903">
        <v>3257</v>
      </c>
      <c r="H903">
        <v>114</v>
      </c>
      <c r="I903">
        <v>8</v>
      </c>
      <c r="J903" s="5">
        <v>1496</v>
      </c>
      <c r="K903" s="4">
        <v>210</v>
      </c>
      <c r="L903" s="6">
        <v>45680</v>
      </c>
      <c r="M903" s="7">
        <f t="shared" si="42"/>
        <v>3.500153515505066E-2</v>
      </c>
      <c r="N903" s="7">
        <f t="shared" si="43"/>
        <v>7.0175438596491224E-2</v>
      </c>
      <c r="O903" s="7">
        <f t="shared" si="44"/>
        <v>6.1238095238095234</v>
      </c>
    </row>
    <row r="904" spans="1:15" x14ac:dyDescent="0.35">
      <c r="A904">
        <v>903</v>
      </c>
      <c r="B904">
        <v>33</v>
      </c>
      <c r="C904" t="s">
        <v>19</v>
      </c>
      <c r="D904" t="s">
        <v>16</v>
      </c>
      <c r="E904" t="s">
        <v>32</v>
      </c>
      <c r="F904" t="s">
        <v>31</v>
      </c>
      <c r="G904">
        <v>1744</v>
      </c>
      <c r="H904">
        <v>390</v>
      </c>
      <c r="I904">
        <v>44</v>
      </c>
      <c r="J904" s="5">
        <v>4488</v>
      </c>
      <c r="K904" s="4">
        <v>660</v>
      </c>
      <c r="L904" s="6">
        <v>45761</v>
      </c>
      <c r="M904" s="7">
        <f t="shared" si="42"/>
        <v>0.22362385321100917</v>
      </c>
      <c r="N904" s="7">
        <f t="shared" si="43"/>
        <v>0.11282051282051282</v>
      </c>
      <c r="O904" s="7">
        <f t="shared" si="44"/>
        <v>5.8</v>
      </c>
    </row>
    <row r="905" spans="1:15" x14ac:dyDescent="0.35">
      <c r="A905">
        <v>904</v>
      </c>
      <c r="B905">
        <v>45</v>
      </c>
      <c r="C905" t="s">
        <v>12</v>
      </c>
      <c r="D905" t="s">
        <v>16</v>
      </c>
      <c r="E905" t="s">
        <v>17</v>
      </c>
      <c r="F905" t="s">
        <v>15</v>
      </c>
      <c r="G905">
        <v>4952</v>
      </c>
      <c r="H905">
        <v>305</v>
      </c>
      <c r="I905">
        <v>13</v>
      </c>
      <c r="J905" s="5">
        <v>1924</v>
      </c>
      <c r="K905" s="4">
        <v>723</v>
      </c>
      <c r="L905" s="6">
        <v>45756</v>
      </c>
      <c r="M905" s="7">
        <f t="shared" si="42"/>
        <v>6.1591276252019385E-2</v>
      </c>
      <c r="N905" s="7">
        <f t="shared" si="43"/>
        <v>4.2622950819672129E-2</v>
      </c>
      <c r="O905" s="7">
        <f t="shared" si="44"/>
        <v>1.6611341632088521</v>
      </c>
    </row>
    <row r="906" spans="1:15" x14ac:dyDescent="0.35">
      <c r="A906">
        <v>905</v>
      </c>
      <c r="B906">
        <v>21</v>
      </c>
      <c r="C906" t="s">
        <v>12</v>
      </c>
      <c r="D906" t="s">
        <v>23</v>
      </c>
      <c r="E906" t="s">
        <v>25</v>
      </c>
      <c r="F906" t="s">
        <v>29</v>
      </c>
      <c r="G906">
        <v>696</v>
      </c>
      <c r="H906">
        <v>415</v>
      </c>
      <c r="I906">
        <v>62</v>
      </c>
      <c r="J906" s="5">
        <v>9548</v>
      </c>
      <c r="K906" s="4">
        <v>789</v>
      </c>
      <c r="L906" s="6">
        <v>45690</v>
      </c>
      <c r="M906" s="7">
        <f t="shared" si="42"/>
        <v>0.59626436781609193</v>
      </c>
      <c r="N906" s="7">
        <f t="shared" si="43"/>
        <v>0.14939759036144579</v>
      </c>
      <c r="O906" s="7">
        <f t="shared" si="44"/>
        <v>11.101394169835235</v>
      </c>
    </row>
    <row r="907" spans="1:15" x14ac:dyDescent="0.35">
      <c r="A907">
        <v>906</v>
      </c>
      <c r="B907">
        <v>27</v>
      </c>
      <c r="C907" t="s">
        <v>12</v>
      </c>
      <c r="D907" t="s">
        <v>27</v>
      </c>
      <c r="E907" t="s">
        <v>30</v>
      </c>
      <c r="F907" t="s">
        <v>18</v>
      </c>
      <c r="G907">
        <v>4666</v>
      </c>
      <c r="H907">
        <v>105</v>
      </c>
      <c r="I907">
        <v>76</v>
      </c>
      <c r="J907" s="5">
        <v>9880</v>
      </c>
      <c r="K907" s="4">
        <v>1324</v>
      </c>
      <c r="L907" s="6">
        <v>45672</v>
      </c>
      <c r="M907" s="7">
        <f t="shared" si="42"/>
        <v>2.2503214744963567E-2</v>
      </c>
      <c r="N907" s="7">
        <f t="shared" si="43"/>
        <v>0.72380952380952379</v>
      </c>
      <c r="O907" s="7">
        <f t="shared" si="44"/>
        <v>6.4622356495468276</v>
      </c>
    </row>
    <row r="908" spans="1:15" x14ac:dyDescent="0.35">
      <c r="A908">
        <v>907</v>
      </c>
      <c r="B908">
        <v>29</v>
      </c>
      <c r="C908" t="s">
        <v>12</v>
      </c>
      <c r="D908" t="s">
        <v>16</v>
      </c>
      <c r="E908" t="s">
        <v>28</v>
      </c>
      <c r="F908" t="s">
        <v>31</v>
      </c>
      <c r="G908">
        <v>2946</v>
      </c>
      <c r="H908">
        <v>310</v>
      </c>
      <c r="I908">
        <v>58</v>
      </c>
      <c r="J908" s="5">
        <v>5162</v>
      </c>
      <c r="K908" s="4">
        <v>506</v>
      </c>
      <c r="L908" s="6">
        <v>45661</v>
      </c>
      <c r="M908" s="7">
        <f t="shared" si="42"/>
        <v>0.10522742701968771</v>
      </c>
      <c r="N908" s="7">
        <f t="shared" si="43"/>
        <v>0.18709677419354839</v>
      </c>
      <c r="O908" s="7">
        <f t="shared" si="44"/>
        <v>9.2015810276679844</v>
      </c>
    </row>
    <row r="909" spans="1:15" x14ac:dyDescent="0.35">
      <c r="A909">
        <v>908</v>
      </c>
      <c r="B909">
        <v>29</v>
      </c>
      <c r="C909" t="s">
        <v>12</v>
      </c>
      <c r="D909" t="s">
        <v>13</v>
      </c>
      <c r="E909" t="s">
        <v>33</v>
      </c>
      <c r="F909" t="s">
        <v>18</v>
      </c>
      <c r="G909">
        <v>4485</v>
      </c>
      <c r="H909">
        <v>385</v>
      </c>
      <c r="I909">
        <v>40</v>
      </c>
      <c r="J909" s="5">
        <v>6640</v>
      </c>
      <c r="K909" s="4">
        <v>1504</v>
      </c>
      <c r="L909" s="6">
        <v>45693</v>
      </c>
      <c r="M909" s="7">
        <f t="shared" si="42"/>
        <v>8.5841694537346705E-2</v>
      </c>
      <c r="N909" s="7">
        <f t="shared" si="43"/>
        <v>0.1038961038961039</v>
      </c>
      <c r="O909" s="7">
        <f t="shared" si="44"/>
        <v>3.4148936170212765</v>
      </c>
    </row>
    <row r="910" spans="1:15" x14ac:dyDescent="0.35">
      <c r="A910">
        <v>909</v>
      </c>
      <c r="B910">
        <v>52</v>
      </c>
      <c r="C910" t="s">
        <v>12</v>
      </c>
      <c r="D910" t="s">
        <v>27</v>
      </c>
      <c r="E910" t="s">
        <v>30</v>
      </c>
      <c r="F910" t="s">
        <v>31</v>
      </c>
      <c r="G910">
        <v>4696</v>
      </c>
      <c r="H910">
        <v>58</v>
      </c>
      <c r="I910">
        <v>65</v>
      </c>
      <c r="J910" s="5">
        <v>6305</v>
      </c>
      <c r="K910" s="4">
        <v>1532</v>
      </c>
      <c r="L910" s="6">
        <v>45776</v>
      </c>
      <c r="M910" s="7">
        <f t="shared" si="42"/>
        <v>1.2350936967632026E-2</v>
      </c>
      <c r="N910" s="7">
        <f t="shared" si="43"/>
        <v>1.1206896551724137</v>
      </c>
      <c r="O910" s="7">
        <f t="shared" si="44"/>
        <v>3.1155352480417755</v>
      </c>
    </row>
    <row r="911" spans="1:15" x14ac:dyDescent="0.35">
      <c r="A911">
        <v>910</v>
      </c>
      <c r="B911">
        <v>32</v>
      </c>
      <c r="C911" t="s">
        <v>19</v>
      </c>
      <c r="D911" t="s">
        <v>27</v>
      </c>
      <c r="E911" t="s">
        <v>21</v>
      </c>
      <c r="F911" t="s">
        <v>22</v>
      </c>
      <c r="G911">
        <v>725</v>
      </c>
      <c r="H911">
        <v>154</v>
      </c>
      <c r="I911">
        <v>8</v>
      </c>
      <c r="J911" s="5">
        <v>992</v>
      </c>
      <c r="K911" s="4">
        <v>1648</v>
      </c>
      <c r="L911" s="6">
        <v>45737</v>
      </c>
      <c r="M911" s="7">
        <f t="shared" si="42"/>
        <v>0.21241379310344827</v>
      </c>
      <c r="N911" s="7">
        <f t="shared" si="43"/>
        <v>5.1948051948051951E-2</v>
      </c>
      <c r="O911" s="7">
        <f t="shared" si="44"/>
        <v>-0.39805825242718446</v>
      </c>
    </row>
    <row r="912" spans="1:15" x14ac:dyDescent="0.35">
      <c r="A912">
        <v>911</v>
      </c>
      <c r="B912">
        <v>43</v>
      </c>
      <c r="C912" t="s">
        <v>12</v>
      </c>
      <c r="D912" t="s">
        <v>20</v>
      </c>
      <c r="E912" t="s">
        <v>34</v>
      </c>
      <c r="F912" t="s">
        <v>31</v>
      </c>
      <c r="G912">
        <v>3640</v>
      </c>
      <c r="H912">
        <v>403</v>
      </c>
      <c r="I912">
        <v>5</v>
      </c>
      <c r="J912" s="5">
        <v>875</v>
      </c>
      <c r="K912" s="4">
        <v>1390</v>
      </c>
      <c r="L912" s="6">
        <v>45769</v>
      </c>
      <c r="M912" s="7">
        <f t="shared" si="42"/>
        <v>0.11071428571428571</v>
      </c>
      <c r="N912" s="7">
        <f t="shared" si="43"/>
        <v>1.2406947890818859E-2</v>
      </c>
      <c r="O912" s="7">
        <f t="shared" si="44"/>
        <v>-0.37050359712230213</v>
      </c>
    </row>
    <row r="913" spans="1:15" x14ac:dyDescent="0.35">
      <c r="A913">
        <v>912</v>
      </c>
      <c r="B913">
        <v>43</v>
      </c>
      <c r="C913" t="s">
        <v>19</v>
      </c>
      <c r="D913" t="s">
        <v>26</v>
      </c>
      <c r="E913" t="s">
        <v>34</v>
      </c>
      <c r="F913" t="s">
        <v>18</v>
      </c>
      <c r="G913">
        <v>750</v>
      </c>
      <c r="H913">
        <v>396</v>
      </c>
      <c r="I913">
        <v>39</v>
      </c>
      <c r="J913" s="5">
        <v>4719</v>
      </c>
      <c r="K913" s="4">
        <v>1909</v>
      </c>
      <c r="L913" s="6">
        <v>45719</v>
      </c>
      <c r="M913" s="7">
        <f t="shared" si="42"/>
        <v>0.52800000000000002</v>
      </c>
      <c r="N913" s="7">
        <f t="shared" si="43"/>
        <v>9.8484848484848481E-2</v>
      </c>
      <c r="O913" s="7">
        <f t="shared" si="44"/>
        <v>1.4719748559455212</v>
      </c>
    </row>
    <row r="914" spans="1:15" x14ac:dyDescent="0.35">
      <c r="A914">
        <v>913</v>
      </c>
      <c r="B914">
        <v>26</v>
      </c>
      <c r="C914" t="s">
        <v>12</v>
      </c>
      <c r="D914" t="s">
        <v>16</v>
      </c>
      <c r="E914" t="s">
        <v>32</v>
      </c>
      <c r="F914" t="s">
        <v>22</v>
      </c>
      <c r="G914">
        <v>1418</v>
      </c>
      <c r="H914">
        <v>199</v>
      </c>
      <c r="I914">
        <v>8</v>
      </c>
      <c r="J914" s="5">
        <v>1104</v>
      </c>
      <c r="K914" s="4">
        <v>632</v>
      </c>
      <c r="L914" s="6">
        <v>45728</v>
      </c>
      <c r="M914" s="7">
        <f t="shared" si="42"/>
        <v>0.14033850493653033</v>
      </c>
      <c r="N914" s="7">
        <f t="shared" si="43"/>
        <v>4.0201005025125629E-2</v>
      </c>
      <c r="O914" s="7">
        <f t="shared" si="44"/>
        <v>0.74683544303797467</v>
      </c>
    </row>
    <row r="915" spans="1:15" x14ac:dyDescent="0.35">
      <c r="A915">
        <v>914</v>
      </c>
      <c r="B915">
        <v>48</v>
      </c>
      <c r="C915" t="s">
        <v>19</v>
      </c>
      <c r="D915" t="s">
        <v>23</v>
      </c>
      <c r="E915" t="s">
        <v>17</v>
      </c>
      <c r="F915" t="s">
        <v>31</v>
      </c>
      <c r="G915">
        <v>2762</v>
      </c>
      <c r="H915">
        <v>435</v>
      </c>
      <c r="I915">
        <v>53</v>
      </c>
      <c r="J915" s="5">
        <v>9699</v>
      </c>
      <c r="K915" s="4">
        <v>671</v>
      </c>
      <c r="L915" s="6">
        <v>45705</v>
      </c>
      <c r="M915" s="7">
        <f t="shared" si="42"/>
        <v>0.15749456915278784</v>
      </c>
      <c r="N915" s="7">
        <f t="shared" si="43"/>
        <v>0.12183908045977011</v>
      </c>
      <c r="O915" s="7">
        <f t="shared" si="44"/>
        <v>13.454545454545455</v>
      </c>
    </row>
    <row r="916" spans="1:15" x14ac:dyDescent="0.35">
      <c r="A916">
        <v>915</v>
      </c>
      <c r="B916">
        <v>43</v>
      </c>
      <c r="C916" t="s">
        <v>12</v>
      </c>
      <c r="D916" t="s">
        <v>27</v>
      </c>
      <c r="E916" t="s">
        <v>30</v>
      </c>
      <c r="F916" t="s">
        <v>22</v>
      </c>
      <c r="G916">
        <v>1574</v>
      </c>
      <c r="H916">
        <v>348</v>
      </c>
      <c r="I916">
        <v>59</v>
      </c>
      <c r="J916" s="5">
        <v>7552</v>
      </c>
      <c r="K916" s="4">
        <v>1951</v>
      </c>
      <c r="L916" s="6">
        <v>45768</v>
      </c>
      <c r="M916" s="7">
        <f t="shared" si="42"/>
        <v>0.22109275730622618</v>
      </c>
      <c r="N916" s="7">
        <f t="shared" si="43"/>
        <v>0.16954022988505746</v>
      </c>
      <c r="O916" s="7">
        <f t="shared" si="44"/>
        <v>2.8708354689902613</v>
      </c>
    </row>
    <row r="917" spans="1:15" x14ac:dyDescent="0.35">
      <c r="A917">
        <v>916</v>
      </c>
      <c r="B917">
        <v>38</v>
      </c>
      <c r="C917" t="s">
        <v>12</v>
      </c>
      <c r="D917" t="s">
        <v>20</v>
      </c>
      <c r="E917" t="s">
        <v>17</v>
      </c>
      <c r="F917" t="s">
        <v>22</v>
      </c>
      <c r="G917">
        <v>3991</v>
      </c>
      <c r="H917">
        <v>244</v>
      </c>
      <c r="I917">
        <v>53</v>
      </c>
      <c r="J917" s="5">
        <v>7102</v>
      </c>
      <c r="K917" s="4">
        <v>787</v>
      </c>
      <c r="L917" s="6">
        <v>45725</v>
      </c>
      <c r="M917" s="7">
        <f t="shared" si="42"/>
        <v>6.1137559508895011E-2</v>
      </c>
      <c r="N917" s="7">
        <f t="shared" si="43"/>
        <v>0.21721311475409835</v>
      </c>
      <c r="O917" s="7">
        <f t="shared" si="44"/>
        <v>8.024142312579416</v>
      </c>
    </row>
    <row r="918" spans="1:15" x14ac:dyDescent="0.35">
      <c r="A918">
        <v>917</v>
      </c>
      <c r="B918">
        <v>37</v>
      </c>
      <c r="C918" t="s">
        <v>12</v>
      </c>
      <c r="D918" t="s">
        <v>26</v>
      </c>
      <c r="E918" t="s">
        <v>14</v>
      </c>
      <c r="F918" t="s">
        <v>18</v>
      </c>
      <c r="G918">
        <v>4434</v>
      </c>
      <c r="H918">
        <v>93</v>
      </c>
      <c r="I918">
        <v>35</v>
      </c>
      <c r="J918" s="5">
        <v>5810</v>
      </c>
      <c r="K918" s="4">
        <v>1921</v>
      </c>
      <c r="L918" s="6">
        <v>45685</v>
      </c>
      <c r="M918" s="7">
        <f t="shared" si="42"/>
        <v>2.097428958051421E-2</v>
      </c>
      <c r="N918" s="7">
        <f t="shared" si="43"/>
        <v>0.37634408602150538</v>
      </c>
      <c r="O918" s="7">
        <f t="shared" si="44"/>
        <v>2.0244664237376369</v>
      </c>
    </row>
    <row r="919" spans="1:15" x14ac:dyDescent="0.35">
      <c r="A919">
        <v>918</v>
      </c>
      <c r="B919">
        <v>30</v>
      </c>
      <c r="C919" t="s">
        <v>12</v>
      </c>
      <c r="D919" t="s">
        <v>23</v>
      </c>
      <c r="E919" t="s">
        <v>24</v>
      </c>
      <c r="F919" t="s">
        <v>29</v>
      </c>
      <c r="G919">
        <v>664</v>
      </c>
      <c r="H919">
        <v>454</v>
      </c>
      <c r="I919">
        <v>21</v>
      </c>
      <c r="J919" s="5">
        <v>2436</v>
      </c>
      <c r="K919" s="4">
        <v>1209</v>
      </c>
      <c r="L919" s="6">
        <v>45687</v>
      </c>
      <c r="M919" s="7">
        <f t="shared" si="42"/>
        <v>0.6837349397590361</v>
      </c>
      <c r="N919" s="7">
        <f t="shared" si="43"/>
        <v>4.6255506607929514E-2</v>
      </c>
      <c r="O919" s="7">
        <f t="shared" si="44"/>
        <v>1.0148883374689825</v>
      </c>
    </row>
    <row r="920" spans="1:15" x14ac:dyDescent="0.35">
      <c r="A920">
        <v>919</v>
      </c>
      <c r="B920">
        <v>37</v>
      </c>
      <c r="C920" t="s">
        <v>12</v>
      </c>
      <c r="D920" t="s">
        <v>20</v>
      </c>
      <c r="E920" t="s">
        <v>32</v>
      </c>
      <c r="F920" t="s">
        <v>29</v>
      </c>
      <c r="G920">
        <v>544</v>
      </c>
      <c r="H920">
        <v>451</v>
      </c>
      <c r="I920">
        <v>66</v>
      </c>
      <c r="J920" s="5">
        <v>11814</v>
      </c>
      <c r="K920" s="4">
        <v>619</v>
      </c>
      <c r="L920" s="6">
        <v>45676</v>
      </c>
      <c r="M920" s="7">
        <f t="shared" si="42"/>
        <v>0.82904411764705888</v>
      </c>
      <c r="N920" s="7">
        <f t="shared" si="43"/>
        <v>0.14634146341463414</v>
      </c>
      <c r="O920" s="7">
        <f t="shared" si="44"/>
        <v>18.08562197092084</v>
      </c>
    </row>
    <row r="921" spans="1:15" x14ac:dyDescent="0.35">
      <c r="A921">
        <v>920</v>
      </c>
      <c r="B921">
        <v>21</v>
      </c>
      <c r="C921" t="s">
        <v>19</v>
      </c>
      <c r="D921" t="s">
        <v>27</v>
      </c>
      <c r="E921" t="s">
        <v>33</v>
      </c>
      <c r="F921" t="s">
        <v>31</v>
      </c>
      <c r="G921">
        <v>864</v>
      </c>
      <c r="H921">
        <v>349</v>
      </c>
      <c r="I921">
        <v>11</v>
      </c>
      <c r="J921" s="5">
        <v>1353</v>
      </c>
      <c r="K921" s="4">
        <v>1984</v>
      </c>
      <c r="L921" s="6">
        <v>45723</v>
      </c>
      <c r="M921" s="7">
        <f t="shared" si="42"/>
        <v>0.40393518518518517</v>
      </c>
      <c r="N921" s="7">
        <f t="shared" si="43"/>
        <v>3.151862464183381E-2</v>
      </c>
      <c r="O921" s="7">
        <f t="shared" si="44"/>
        <v>-0.31804435483870969</v>
      </c>
    </row>
    <row r="922" spans="1:15" x14ac:dyDescent="0.35">
      <c r="A922">
        <v>921</v>
      </c>
      <c r="B922">
        <v>22</v>
      </c>
      <c r="C922" t="s">
        <v>19</v>
      </c>
      <c r="D922" t="s">
        <v>13</v>
      </c>
      <c r="E922" t="s">
        <v>21</v>
      </c>
      <c r="F922" t="s">
        <v>22</v>
      </c>
      <c r="G922">
        <v>4650</v>
      </c>
      <c r="H922">
        <v>315</v>
      </c>
      <c r="I922">
        <v>46</v>
      </c>
      <c r="J922" s="5">
        <v>7176</v>
      </c>
      <c r="K922" s="4">
        <v>1520</v>
      </c>
      <c r="L922" s="6">
        <v>45667</v>
      </c>
      <c r="M922" s="7">
        <f t="shared" si="42"/>
        <v>6.7741935483870974E-2</v>
      </c>
      <c r="N922" s="7">
        <f t="shared" si="43"/>
        <v>0.14603174603174604</v>
      </c>
      <c r="O922" s="7">
        <f t="shared" si="44"/>
        <v>3.7210526315789472</v>
      </c>
    </row>
    <row r="923" spans="1:15" x14ac:dyDescent="0.35">
      <c r="A923">
        <v>922</v>
      </c>
      <c r="B923">
        <v>18</v>
      </c>
      <c r="C923" t="s">
        <v>12</v>
      </c>
      <c r="D923" t="s">
        <v>16</v>
      </c>
      <c r="E923" t="s">
        <v>34</v>
      </c>
      <c r="F923" t="s">
        <v>29</v>
      </c>
      <c r="G923">
        <v>1881</v>
      </c>
      <c r="H923">
        <v>493</v>
      </c>
      <c r="I923">
        <v>55</v>
      </c>
      <c r="J923" s="5">
        <v>4785</v>
      </c>
      <c r="K923" s="4">
        <v>1628</v>
      </c>
      <c r="L923" s="6">
        <v>45760</v>
      </c>
      <c r="M923" s="7">
        <f t="shared" si="42"/>
        <v>0.26209463051568316</v>
      </c>
      <c r="N923" s="7">
        <f t="shared" si="43"/>
        <v>0.11156186612576065</v>
      </c>
      <c r="O923" s="7">
        <f t="shared" si="44"/>
        <v>1.9391891891891893</v>
      </c>
    </row>
    <row r="924" spans="1:15" x14ac:dyDescent="0.35">
      <c r="A924">
        <v>923</v>
      </c>
      <c r="B924">
        <v>26</v>
      </c>
      <c r="C924" t="s">
        <v>12</v>
      </c>
      <c r="D924" t="s">
        <v>16</v>
      </c>
      <c r="E924" t="s">
        <v>34</v>
      </c>
      <c r="F924" t="s">
        <v>22</v>
      </c>
      <c r="G924">
        <v>3649</v>
      </c>
      <c r="H924">
        <v>134</v>
      </c>
      <c r="I924">
        <v>34</v>
      </c>
      <c r="J924" s="5">
        <v>4352</v>
      </c>
      <c r="K924" s="4">
        <v>1948</v>
      </c>
      <c r="L924" s="6">
        <v>45726</v>
      </c>
      <c r="M924" s="7">
        <f t="shared" si="42"/>
        <v>3.6722389695807073E-2</v>
      </c>
      <c r="N924" s="7">
        <f t="shared" si="43"/>
        <v>0.2537313432835821</v>
      </c>
      <c r="O924" s="7">
        <f t="shared" si="44"/>
        <v>1.2340862422997947</v>
      </c>
    </row>
    <row r="925" spans="1:15" x14ac:dyDescent="0.35">
      <c r="A925">
        <v>924</v>
      </c>
      <c r="B925">
        <v>36</v>
      </c>
      <c r="C925" t="s">
        <v>12</v>
      </c>
      <c r="D925" t="s">
        <v>20</v>
      </c>
      <c r="E925" t="s">
        <v>32</v>
      </c>
      <c r="F925" t="s">
        <v>15</v>
      </c>
      <c r="G925">
        <v>3629</v>
      </c>
      <c r="H925">
        <v>234</v>
      </c>
      <c r="I925">
        <v>66</v>
      </c>
      <c r="J925" s="5">
        <v>8646</v>
      </c>
      <c r="K925" s="4">
        <v>678</v>
      </c>
      <c r="L925" s="6">
        <v>45707</v>
      </c>
      <c r="M925" s="7">
        <f t="shared" si="42"/>
        <v>6.4480573160650312E-2</v>
      </c>
      <c r="N925" s="7">
        <f t="shared" si="43"/>
        <v>0.28205128205128205</v>
      </c>
      <c r="O925" s="7">
        <f t="shared" si="44"/>
        <v>11.752212389380531</v>
      </c>
    </row>
    <row r="926" spans="1:15" x14ac:dyDescent="0.35">
      <c r="A926">
        <v>925</v>
      </c>
      <c r="B926">
        <v>27</v>
      </c>
      <c r="C926" t="s">
        <v>19</v>
      </c>
      <c r="D926" t="s">
        <v>13</v>
      </c>
      <c r="E926" t="s">
        <v>28</v>
      </c>
      <c r="F926" t="s">
        <v>15</v>
      </c>
      <c r="G926">
        <v>945</v>
      </c>
      <c r="H926">
        <v>270</v>
      </c>
      <c r="I926">
        <v>47</v>
      </c>
      <c r="J926" s="5">
        <v>8789</v>
      </c>
      <c r="K926" s="4">
        <v>1601</v>
      </c>
      <c r="L926" s="6">
        <v>45714</v>
      </c>
      <c r="M926" s="7">
        <f t="shared" si="42"/>
        <v>0.2857142857142857</v>
      </c>
      <c r="N926" s="7">
        <f t="shared" si="43"/>
        <v>0.17407407407407408</v>
      </c>
      <c r="O926" s="7">
        <f t="shared" si="44"/>
        <v>4.4896939412866956</v>
      </c>
    </row>
    <row r="927" spans="1:15" x14ac:dyDescent="0.35">
      <c r="A927">
        <v>926</v>
      </c>
      <c r="B927">
        <v>40</v>
      </c>
      <c r="C927" t="s">
        <v>12</v>
      </c>
      <c r="D927" t="s">
        <v>27</v>
      </c>
      <c r="E927" t="s">
        <v>32</v>
      </c>
      <c r="F927" t="s">
        <v>31</v>
      </c>
      <c r="G927">
        <v>4525</v>
      </c>
      <c r="H927">
        <v>268</v>
      </c>
      <c r="I927">
        <v>25</v>
      </c>
      <c r="J927" s="5">
        <v>3975</v>
      </c>
      <c r="K927" s="4">
        <v>291</v>
      </c>
      <c r="L927" s="6">
        <v>45677</v>
      </c>
      <c r="M927" s="7">
        <f t="shared" si="42"/>
        <v>5.9226519337016573E-2</v>
      </c>
      <c r="N927" s="7">
        <f t="shared" si="43"/>
        <v>9.3283582089552244E-2</v>
      </c>
      <c r="O927" s="7">
        <f t="shared" si="44"/>
        <v>12.659793814432989</v>
      </c>
    </row>
    <row r="928" spans="1:15" x14ac:dyDescent="0.35">
      <c r="A928">
        <v>927</v>
      </c>
      <c r="B928">
        <v>38</v>
      </c>
      <c r="C928" t="s">
        <v>19</v>
      </c>
      <c r="D928" t="s">
        <v>20</v>
      </c>
      <c r="E928" t="s">
        <v>33</v>
      </c>
      <c r="F928" t="s">
        <v>15</v>
      </c>
      <c r="G928">
        <v>3033</v>
      </c>
      <c r="H928">
        <v>231</v>
      </c>
      <c r="I928">
        <v>29</v>
      </c>
      <c r="J928" s="5">
        <v>2436</v>
      </c>
      <c r="K928" s="4">
        <v>355</v>
      </c>
      <c r="L928" s="6">
        <v>45704</v>
      </c>
      <c r="M928" s="7">
        <f t="shared" si="42"/>
        <v>7.6162215628091001E-2</v>
      </c>
      <c r="N928" s="7">
        <f t="shared" si="43"/>
        <v>0.12554112554112554</v>
      </c>
      <c r="O928" s="7">
        <f t="shared" si="44"/>
        <v>5.8619718309859152</v>
      </c>
    </row>
    <row r="929" spans="1:15" x14ac:dyDescent="0.35">
      <c r="A929">
        <v>928</v>
      </c>
      <c r="B929">
        <v>38</v>
      </c>
      <c r="C929" t="s">
        <v>19</v>
      </c>
      <c r="D929" t="s">
        <v>23</v>
      </c>
      <c r="E929" t="s">
        <v>24</v>
      </c>
      <c r="F929" t="s">
        <v>31</v>
      </c>
      <c r="G929">
        <v>4614</v>
      </c>
      <c r="H929">
        <v>433</v>
      </c>
      <c r="I929">
        <v>69</v>
      </c>
      <c r="J929" s="5">
        <v>5658</v>
      </c>
      <c r="K929" s="4">
        <v>436</v>
      </c>
      <c r="L929" s="6">
        <v>45762</v>
      </c>
      <c r="M929" s="7">
        <f t="shared" si="42"/>
        <v>9.3844820112700483E-2</v>
      </c>
      <c r="N929" s="7">
        <f t="shared" si="43"/>
        <v>0.15935334872979215</v>
      </c>
      <c r="O929" s="7">
        <f t="shared" si="44"/>
        <v>11.977064220183486</v>
      </c>
    </row>
    <row r="930" spans="1:15" x14ac:dyDescent="0.35">
      <c r="A930">
        <v>929</v>
      </c>
      <c r="B930">
        <v>37</v>
      </c>
      <c r="C930" t="s">
        <v>12</v>
      </c>
      <c r="D930" t="s">
        <v>27</v>
      </c>
      <c r="E930" t="s">
        <v>32</v>
      </c>
      <c r="F930" t="s">
        <v>29</v>
      </c>
      <c r="G930">
        <v>1051</v>
      </c>
      <c r="H930">
        <v>372</v>
      </c>
      <c r="I930">
        <v>29</v>
      </c>
      <c r="J930" s="5">
        <v>5452</v>
      </c>
      <c r="K930" s="4">
        <v>838</v>
      </c>
      <c r="L930" s="6">
        <v>45701</v>
      </c>
      <c r="M930" s="7">
        <f t="shared" si="42"/>
        <v>0.35394862036156044</v>
      </c>
      <c r="N930" s="7">
        <f t="shared" si="43"/>
        <v>7.7956989247311828E-2</v>
      </c>
      <c r="O930" s="7">
        <f t="shared" si="44"/>
        <v>5.5059665871121721</v>
      </c>
    </row>
    <row r="931" spans="1:15" x14ac:dyDescent="0.35">
      <c r="A931">
        <v>930</v>
      </c>
      <c r="B931">
        <v>23</v>
      </c>
      <c r="C931" t="s">
        <v>19</v>
      </c>
      <c r="D931" t="s">
        <v>26</v>
      </c>
      <c r="E931" t="s">
        <v>24</v>
      </c>
      <c r="F931" t="s">
        <v>18</v>
      </c>
      <c r="G931">
        <v>4437</v>
      </c>
      <c r="H931">
        <v>233</v>
      </c>
      <c r="I931">
        <v>59</v>
      </c>
      <c r="J931" s="5">
        <v>9794</v>
      </c>
      <c r="K931" s="4">
        <v>1591</v>
      </c>
      <c r="L931" s="6">
        <v>45774</v>
      </c>
      <c r="M931" s="7">
        <f t="shared" si="42"/>
        <v>5.2512959206671171E-2</v>
      </c>
      <c r="N931" s="7">
        <f t="shared" si="43"/>
        <v>0.25321888412017168</v>
      </c>
      <c r="O931" s="7">
        <f t="shared" si="44"/>
        <v>5.1558768070395979</v>
      </c>
    </row>
    <row r="932" spans="1:15" x14ac:dyDescent="0.35">
      <c r="A932">
        <v>931</v>
      </c>
      <c r="B932">
        <v>24</v>
      </c>
      <c r="C932" t="s">
        <v>12</v>
      </c>
      <c r="D932" t="s">
        <v>27</v>
      </c>
      <c r="E932" t="s">
        <v>28</v>
      </c>
      <c r="F932" t="s">
        <v>18</v>
      </c>
      <c r="G932">
        <v>2748</v>
      </c>
      <c r="H932">
        <v>386</v>
      </c>
      <c r="I932">
        <v>70</v>
      </c>
      <c r="J932" s="5">
        <v>11340</v>
      </c>
      <c r="K932" s="4">
        <v>474</v>
      </c>
      <c r="L932" s="6">
        <v>45720</v>
      </c>
      <c r="M932" s="7">
        <f t="shared" si="42"/>
        <v>0.14046579330422126</v>
      </c>
      <c r="N932" s="7">
        <f t="shared" si="43"/>
        <v>0.18134715025906736</v>
      </c>
      <c r="O932" s="7">
        <f t="shared" si="44"/>
        <v>22.924050632911392</v>
      </c>
    </row>
    <row r="933" spans="1:15" x14ac:dyDescent="0.35">
      <c r="A933">
        <v>932</v>
      </c>
      <c r="B933">
        <v>34</v>
      </c>
      <c r="C933" t="s">
        <v>12</v>
      </c>
      <c r="D933" t="s">
        <v>27</v>
      </c>
      <c r="E933" t="s">
        <v>33</v>
      </c>
      <c r="F933" t="s">
        <v>22</v>
      </c>
      <c r="G933">
        <v>4125</v>
      </c>
      <c r="H933">
        <v>91</v>
      </c>
      <c r="I933">
        <v>63</v>
      </c>
      <c r="J933" s="5">
        <v>9576</v>
      </c>
      <c r="K933" s="4">
        <v>987</v>
      </c>
      <c r="L933" s="6">
        <v>45720</v>
      </c>
      <c r="M933" s="7">
        <f t="shared" si="42"/>
        <v>2.2060606060606062E-2</v>
      </c>
      <c r="N933" s="7">
        <f t="shared" si="43"/>
        <v>0.69230769230769229</v>
      </c>
      <c r="O933" s="7">
        <f t="shared" si="44"/>
        <v>8.7021276595744688</v>
      </c>
    </row>
    <row r="934" spans="1:15" x14ac:dyDescent="0.35">
      <c r="A934">
        <v>933</v>
      </c>
      <c r="B934">
        <v>24</v>
      </c>
      <c r="C934" t="s">
        <v>19</v>
      </c>
      <c r="D934" t="s">
        <v>23</v>
      </c>
      <c r="E934" t="s">
        <v>34</v>
      </c>
      <c r="F934" t="s">
        <v>22</v>
      </c>
      <c r="G934">
        <v>2052</v>
      </c>
      <c r="H934">
        <v>374</v>
      </c>
      <c r="I934">
        <v>43</v>
      </c>
      <c r="J934" s="5">
        <v>8428</v>
      </c>
      <c r="K934" s="4">
        <v>1689</v>
      </c>
      <c r="L934" s="6">
        <v>45696</v>
      </c>
      <c r="M934" s="7">
        <f t="shared" si="42"/>
        <v>0.18226120857699804</v>
      </c>
      <c r="N934" s="7">
        <f t="shared" si="43"/>
        <v>0.11497326203208556</v>
      </c>
      <c r="O934" s="7">
        <f t="shared" si="44"/>
        <v>3.9899348727057431</v>
      </c>
    </row>
    <row r="935" spans="1:15" x14ac:dyDescent="0.35">
      <c r="A935">
        <v>934</v>
      </c>
      <c r="B935">
        <v>21</v>
      </c>
      <c r="C935" t="s">
        <v>12</v>
      </c>
      <c r="D935" t="s">
        <v>27</v>
      </c>
      <c r="E935" t="s">
        <v>17</v>
      </c>
      <c r="F935" t="s">
        <v>15</v>
      </c>
      <c r="G935">
        <v>3959</v>
      </c>
      <c r="H935">
        <v>458</v>
      </c>
      <c r="I935">
        <v>73</v>
      </c>
      <c r="J935" s="5">
        <v>11315</v>
      </c>
      <c r="K935" s="4">
        <v>1893</v>
      </c>
      <c r="L935" s="6">
        <v>45686</v>
      </c>
      <c r="M935" s="7">
        <f t="shared" si="42"/>
        <v>0.11568577923718111</v>
      </c>
      <c r="N935" s="7">
        <f t="shared" si="43"/>
        <v>0.15938864628820962</v>
      </c>
      <c r="O935" s="7">
        <f t="shared" si="44"/>
        <v>4.9772847332276813</v>
      </c>
    </row>
    <row r="936" spans="1:15" x14ac:dyDescent="0.35">
      <c r="A936">
        <v>935</v>
      </c>
      <c r="B936">
        <v>22</v>
      </c>
      <c r="C936" t="s">
        <v>12</v>
      </c>
      <c r="D936" t="s">
        <v>26</v>
      </c>
      <c r="E936" t="s">
        <v>33</v>
      </c>
      <c r="F936" t="s">
        <v>22</v>
      </c>
      <c r="G936">
        <v>2492</v>
      </c>
      <c r="H936">
        <v>245</v>
      </c>
      <c r="I936">
        <v>55</v>
      </c>
      <c r="J936" s="5">
        <v>5115</v>
      </c>
      <c r="K936" s="4">
        <v>1887</v>
      </c>
      <c r="L936" s="6">
        <v>45699</v>
      </c>
      <c r="M936" s="7">
        <f t="shared" si="42"/>
        <v>9.8314606741573038E-2</v>
      </c>
      <c r="N936" s="7">
        <f t="shared" si="43"/>
        <v>0.22448979591836735</v>
      </c>
      <c r="O936" s="7">
        <f t="shared" si="44"/>
        <v>1.7106518282988872</v>
      </c>
    </row>
    <row r="937" spans="1:15" x14ac:dyDescent="0.35">
      <c r="A937">
        <v>936</v>
      </c>
      <c r="B937">
        <v>28</v>
      </c>
      <c r="C937" t="s">
        <v>12</v>
      </c>
      <c r="D937" t="s">
        <v>13</v>
      </c>
      <c r="E937" t="s">
        <v>24</v>
      </c>
      <c r="F937" t="s">
        <v>18</v>
      </c>
      <c r="G937">
        <v>1222</v>
      </c>
      <c r="H937">
        <v>317</v>
      </c>
      <c r="I937">
        <v>21</v>
      </c>
      <c r="J937" s="5">
        <v>3507</v>
      </c>
      <c r="K937" s="4">
        <v>997</v>
      </c>
      <c r="L937" s="6">
        <v>45680</v>
      </c>
      <c r="M937" s="7">
        <f t="shared" si="42"/>
        <v>0.25941080196399346</v>
      </c>
      <c r="N937" s="7">
        <f t="shared" si="43"/>
        <v>6.6246056782334389E-2</v>
      </c>
      <c r="O937" s="7">
        <f t="shared" si="44"/>
        <v>2.5175526579739218</v>
      </c>
    </row>
    <row r="938" spans="1:15" x14ac:dyDescent="0.35">
      <c r="A938">
        <v>937</v>
      </c>
      <c r="B938">
        <v>32</v>
      </c>
      <c r="C938" t="s">
        <v>12</v>
      </c>
      <c r="D938" t="s">
        <v>27</v>
      </c>
      <c r="E938" t="s">
        <v>17</v>
      </c>
      <c r="F938" t="s">
        <v>15</v>
      </c>
      <c r="G938">
        <v>708</v>
      </c>
      <c r="H938">
        <v>178</v>
      </c>
      <c r="I938">
        <v>36</v>
      </c>
      <c r="J938" s="5">
        <v>3168</v>
      </c>
      <c r="K938" s="4">
        <v>451</v>
      </c>
      <c r="L938" s="6">
        <v>45717</v>
      </c>
      <c r="M938" s="7">
        <f t="shared" si="42"/>
        <v>0.25141242937853109</v>
      </c>
      <c r="N938" s="7">
        <f t="shared" si="43"/>
        <v>0.20224719101123595</v>
      </c>
      <c r="O938" s="7">
        <f t="shared" si="44"/>
        <v>6.024390243902439</v>
      </c>
    </row>
    <row r="939" spans="1:15" x14ac:dyDescent="0.35">
      <c r="A939">
        <v>938</v>
      </c>
      <c r="B939">
        <v>29</v>
      </c>
      <c r="C939" t="s">
        <v>12</v>
      </c>
      <c r="D939" t="s">
        <v>20</v>
      </c>
      <c r="E939" t="s">
        <v>32</v>
      </c>
      <c r="F939" t="s">
        <v>29</v>
      </c>
      <c r="G939">
        <v>2544</v>
      </c>
      <c r="H939">
        <v>468</v>
      </c>
      <c r="I939">
        <v>31</v>
      </c>
      <c r="J939" s="5">
        <v>5828</v>
      </c>
      <c r="K939" s="4">
        <v>1434</v>
      </c>
      <c r="L939" s="6">
        <v>45722</v>
      </c>
      <c r="M939" s="7">
        <f t="shared" si="42"/>
        <v>0.18396226415094338</v>
      </c>
      <c r="N939" s="7">
        <f t="shared" si="43"/>
        <v>6.623931623931624E-2</v>
      </c>
      <c r="O939" s="7">
        <f t="shared" si="44"/>
        <v>3.0641562064156207</v>
      </c>
    </row>
    <row r="940" spans="1:15" x14ac:dyDescent="0.35">
      <c r="A940">
        <v>939</v>
      </c>
      <c r="B940">
        <v>49</v>
      </c>
      <c r="C940" t="s">
        <v>19</v>
      </c>
      <c r="D940" t="s">
        <v>26</v>
      </c>
      <c r="E940" t="s">
        <v>14</v>
      </c>
      <c r="F940" t="s">
        <v>22</v>
      </c>
      <c r="G940">
        <v>3272</v>
      </c>
      <c r="H940">
        <v>482</v>
      </c>
      <c r="I940">
        <v>5</v>
      </c>
      <c r="J940" s="5">
        <v>630</v>
      </c>
      <c r="K940" s="4">
        <v>1745</v>
      </c>
      <c r="L940" s="6">
        <v>45743</v>
      </c>
      <c r="M940" s="7">
        <f t="shared" si="42"/>
        <v>0.14731051344743276</v>
      </c>
      <c r="N940" s="7">
        <f t="shared" si="43"/>
        <v>1.0373443983402489E-2</v>
      </c>
      <c r="O940" s="7">
        <f t="shared" si="44"/>
        <v>-0.63896848137535822</v>
      </c>
    </row>
    <row r="941" spans="1:15" x14ac:dyDescent="0.35">
      <c r="A941">
        <v>940</v>
      </c>
      <c r="B941">
        <v>35</v>
      </c>
      <c r="C941" t="s">
        <v>19</v>
      </c>
      <c r="D941" t="s">
        <v>13</v>
      </c>
      <c r="E941" t="s">
        <v>14</v>
      </c>
      <c r="F941" t="s">
        <v>31</v>
      </c>
      <c r="G941">
        <v>2403</v>
      </c>
      <c r="H941">
        <v>479</v>
      </c>
      <c r="I941">
        <v>36</v>
      </c>
      <c r="J941" s="5">
        <v>6156</v>
      </c>
      <c r="K941" s="4">
        <v>1250</v>
      </c>
      <c r="L941" s="6">
        <v>45706</v>
      </c>
      <c r="M941" s="7">
        <f t="shared" si="42"/>
        <v>0.19933416562630046</v>
      </c>
      <c r="N941" s="7">
        <f t="shared" si="43"/>
        <v>7.5156576200417533E-2</v>
      </c>
      <c r="O941" s="7">
        <f t="shared" si="44"/>
        <v>3.9247999999999998</v>
      </c>
    </row>
    <row r="942" spans="1:15" x14ac:dyDescent="0.35">
      <c r="A942">
        <v>941</v>
      </c>
      <c r="B942">
        <v>48</v>
      </c>
      <c r="C942" t="s">
        <v>12</v>
      </c>
      <c r="D942" t="s">
        <v>27</v>
      </c>
      <c r="E942" t="s">
        <v>33</v>
      </c>
      <c r="F942" t="s">
        <v>18</v>
      </c>
      <c r="G942">
        <v>1488</v>
      </c>
      <c r="H942">
        <v>131</v>
      </c>
      <c r="I942">
        <v>48</v>
      </c>
      <c r="J942" s="5">
        <v>6384</v>
      </c>
      <c r="K942" s="4">
        <v>1807</v>
      </c>
      <c r="L942" s="6">
        <v>45728</v>
      </c>
      <c r="M942" s="7">
        <f t="shared" si="42"/>
        <v>8.8037634408602156E-2</v>
      </c>
      <c r="N942" s="7">
        <f t="shared" si="43"/>
        <v>0.36641221374045801</v>
      </c>
      <c r="O942" s="7">
        <f t="shared" si="44"/>
        <v>2.5329275041505257</v>
      </c>
    </row>
    <row r="943" spans="1:15" x14ac:dyDescent="0.35">
      <c r="A943">
        <v>942</v>
      </c>
      <c r="B943">
        <v>26</v>
      </c>
      <c r="C943" t="s">
        <v>12</v>
      </c>
      <c r="D943" t="s">
        <v>27</v>
      </c>
      <c r="E943" t="s">
        <v>17</v>
      </c>
      <c r="F943" t="s">
        <v>18</v>
      </c>
      <c r="G943">
        <v>1925</v>
      </c>
      <c r="H943">
        <v>87</v>
      </c>
      <c r="I943">
        <v>63</v>
      </c>
      <c r="J943" s="5">
        <v>5544</v>
      </c>
      <c r="K943" s="4">
        <v>710</v>
      </c>
      <c r="L943" s="6">
        <v>45708</v>
      </c>
      <c r="M943" s="7">
        <f t="shared" si="42"/>
        <v>4.5194805194805197E-2</v>
      </c>
      <c r="N943" s="7">
        <f t="shared" si="43"/>
        <v>0.72413793103448276</v>
      </c>
      <c r="O943" s="7">
        <f t="shared" si="44"/>
        <v>6.8084507042253524</v>
      </c>
    </row>
    <row r="944" spans="1:15" x14ac:dyDescent="0.35">
      <c r="A944">
        <v>943</v>
      </c>
      <c r="B944">
        <v>47</v>
      </c>
      <c r="C944" t="s">
        <v>19</v>
      </c>
      <c r="D944" t="s">
        <v>26</v>
      </c>
      <c r="E944" t="s">
        <v>32</v>
      </c>
      <c r="F944" t="s">
        <v>29</v>
      </c>
      <c r="G944">
        <v>3094</v>
      </c>
      <c r="H944">
        <v>131</v>
      </c>
      <c r="I944">
        <v>9</v>
      </c>
      <c r="J944" s="5">
        <v>1539</v>
      </c>
      <c r="K944" s="4">
        <v>1621</v>
      </c>
      <c r="L944" s="6">
        <v>45696</v>
      </c>
      <c r="M944" s="7">
        <f t="shared" si="42"/>
        <v>4.2340012928248225E-2</v>
      </c>
      <c r="N944" s="7">
        <f t="shared" si="43"/>
        <v>6.8702290076335881E-2</v>
      </c>
      <c r="O944" s="7">
        <f t="shared" si="44"/>
        <v>-5.0586057988895747E-2</v>
      </c>
    </row>
    <row r="945" spans="1:15" x14ac:dyDescent="0.35">
      <c r="A945">
        <v>944</v>
      </c>
      <c r="B945">
        <v>19</v>
      </c>
      <c r="C945" t="s">
        <v>12</v>
      </c>
      <c r="D945" t="s">
        <v>16</v>
      </c>
      <c r="E945" t="s">
        <v>28</v>
      </c>
      <c r="F945" t="s">
        <v>29</v>
      </c>
      <c r="G945">
        <v>4039</v>
      </c>
      <c r="H945">
        <v>497</v>
      </c>
      <c r="I945">
        <v>29</v>
      </c>
      <c r="J945" s="5">
        <v>4495</v>
      </c>
      <c r="K945" s="4">
        <v>1635</v>
      </c>
      <c r="L945" s="6">
        <v>45688</v>
      </c>
      <c r="M945" s="7">
        <f t="shared" si="42"/>
        <v>0.12305025996533796</v>
      </c>
      <c r="N945" s="7">
        <f t="shared" si="43"/>
        <v>5.8350100603621731E-2</v>
      </c>
      <c r="O945" s="7">
        <f t="shared" si="44"/>
        <v>1.7492354740061162</v>
      </c>
    </row>
    <row r="946" spans="1:15" x14ac:dyDescent="0.35">
      <c r="A946">
        <v>945</v>
      </c>
      <c r="B946">
        <v>21</v>
      </c>
      <c r="C946" t="s">
        <v>12</v>
      </c>
      <c r="D946" t="s">
        <v>13</v>
      </c>
      <c r="E946" t="s">
        <v>17</v>
      </c>
      <c r="F946" t="s">
        <v>29</v>
      </c>
      <c r="G946">
        <v>3850</v>
      </c>
      <c r="H946">
        <v>353</v>
      </c>
      <c r="I946">
        <v>24</v>
      </c>
      <c r="J946" s="5">
        <v>2808</v>
      </c>
      <c r="K946" s="4">
        <v>1092</v>
      </c>
      <c r="L946" s="6">
        <v>45746</v>
      </c>
      <c r="M946" s="7">
        <f t="shared" si="42"/>
        <v>9.1688311688311694E-2</v>
      </c>
      <c r="N946" s="7">
        <f t="shared" si="43"/>
        <v>6.79886685552408E-2</v>
      </c>
      <c r="O946" s="7">
        <f t="shared" si="44"/>
        <v>1.5714285714285714</v>
      </c>
    </row>
    <row r="947" spans="1:15" x14ac:dyDescent="0.35">
      <c r="A947">
        <v>946</v>
      </c>
      <c r="B947">
        <v>29</v>
      </c>
      <c r="C947" t="s">
        <v>19</v>
      </c>
      <c r="D947" t="s">
        <v>27</v>
      </c>
      <c r="E947" t="s">
        <v>14</v>
      </c>
      <c r="F947" t="s">
        <v>18</v>
      </c>
      <c r="G947">
        <v>1658</v>
      </c>
      <c r="H947">
        <v>234</v>
      </c>
      <c r="I947">
        <v>16</v>
      </c>
      <c r="J947" s="5">
        <v>1344</v>
      </c>
      <c r="K947" s="4">
        <v>817</v>
      </c>
      <c r="L947" s="6">
        <v>45675</v>
      </c>
      <c r="M947" s="7">
        <f t="shared" si="42"/>
        <v>0.14113389626055489</v>
      </c>
      <c r="N947" s="7">
        <f t="shared" si="43"/>
        <v>6.8376068376068383E-2</v>
      </c>
      <c r="O947" s="7">
        <f t="shared" si="44"/>
        <v>0.64504283965728271</v>
      </c>
    </row>
    <row r="948" spans="1:15" x14ac:dyDescent="0.35">
      <c r="A948">
        <v>947</v>
      </c>
      <c r="B948">
        <v>48</v>
      </c>
      <c r="C948" t="s">
        <v>19</v>
      </c>
      <c r="D948" t="s">
        <v>20</v>
      </c>
      <c r="E948" t="s">
        <v>24</v>
      </c>
      <c r="F948" t="s">
        <v>29</v>
      </c>
      <c r="G948">
        <v>2564</v>
      </c>
      <c r="H948">
        <v>245</v>
      </c>
      <c r="I948">
        <v>75</v>
      </c>
      <c r="J948" s="5">
        <v>9000</v>
      </c>
      <c r="K948" s="4">
        <v>517</v>
      </c>
      <c r="L948" s="6">
        <v>45776</v>
      </c>
      <c r="M948" s="7">
        <f t="shared" si="42"/>
        <v>9.5553822152886117E-2</v>
      </c>
      <c r="N948" s="7">
        <f t="shared" si="43"/>
        <v>0.30612244897959184</v>
      </c>
      <c r="O948" s="7">
        <f t="shared" si="44"/>
        <v>16.408123791102515</v>
      </c>
    </row>
    <row r="949" spans="1:15" x14ac:dyDescent="0.35">
      <c r="A949">
        <v>948</v>
      </c>
      <c r="B949">
        <v>51</v>
      </c>
      <c r="C949" t="s">
        <v>19</v>
      </c>
      <c r="D949" t="s">
        <v>20</v>
      </c>
      <c r="E949" t="s">
        <v>28</v>
      </c>
      <c r="F949" t="s">
        <v>29</v>
      </c>
      <c r="G949">
        <v>2522</v>
      </c>
      <c r="H949">
        <v>168</v>
      </c>
      <c r="I949">
        <v>38</v>
      </c>
      <c r="J949" s="5">
        <v>7334</v>
      </c>
      <c r="K949" s="4">
        <v>909</v>
      </c>
      <c r="L949" s="6">
        <v>45707</v>
      </c>
      <c r="M949" s="7">
        <f t="shared" si="42"/>
        <v>6.6613798572561458E-2</v>
      </c>
      <c r="N949" s="7">
        <f t="shared" si="43"/>
        <v>0.22619047619047619</v>
      </c>
      <c r="O949" s="7">
        <f t="shared" si="44"/>
        <v>7.0682068206820681</v>
      </c>
    </row>
    <row r="950" spans="1:15" x14ac:dyDescent="0.35">
      <c r="A950">
        <v>949</v>
      </c>
      <c r="B950">
        <v>39</v>
      </c>
      <c r="C950" t="s">
        <v>12</v>
      </c>
      <c r="D950" t="s">
        <v>23</v>
      </c>
      <c r="E950" t="s">
        <v>21</v>
      </c>
      <c r="F950" t="s">
        <v>29</v>
      </c>
      <c r="G950">
        <v>3928</v>
      </c>
      <c r="H950">
        <v>465</v>
      </c>
      <c r="I950">
        <v>71</v>
      </c>
      <c r="J950" s="5">
        <v>11715</v>
      </c>
      <c r="K950" s="4">
        <v>714</v>
      </c>
      <c r="L950" s="6">
        <v>45708</v>
      </c>
      <c r="M950" s="7">
        <f t="shared" si="42"/>
        <v>0.11838085539714868</v>
      </c>
      <c r="N950" s="7">
        <f t="shared" si="43"/>
        <v>0.15268817204301074</v>
      </c>
      <c r="O950" s="7">
        <f t="shared" si="44"/>
        <v>15.407563025210084</v>
      </c>
    </row>
    <row r="951" spans="1:15" x14ac:dyDescent="0.35">
      <c r="A951">
        <v>950</v>
      </c>
      <c r="B951">
        <v>30</v>
      </c>
      <c r="C951" t="s">
        <v>19</v>
      </c>
      <c r="D951" t="s">
        <v>13</v>
      </c>
      <c r="E951" t="s">
        <v>17</v>
      </c>
      <c r="F951" t="s">
        <v>15</v>
      </c>
      <c r="G951">
        <v>1008</v>
      </c>
      <c r="H951">
        <v>381</v>
      </c>
      <c r="I951">
        <v>52</v>
      </c>
      <c r="J951" s="5">
        <v>4472</v>
      </c>
      <c r="K951" s="4">
        <v>856</v>
      </c>
      <c r="L951" s="6">
        <v>45723</v>
      </c>
      <c r="M951" s="7">
        <f t="shared" si="42"/>
        <v>0.37797619047619047</v>
      </c>
      <c r="N951" s="7">
        <f t="shared" si="43"/>
        <v>0.13648293963254593</v>
      </c>
      <c r="O951" s="7">
        <f t="shared" si="44"/>
        <v>4.2242990654205608</v>
      </c>
    </row>
    <row r="952" spans="1:15" x14ac:dyDescent="0.35">
      <c r="A952">
        <v>951</v>
      </c>
      <c r="B952">
        <v>36</v>
      </c>
      <c r="C952" t="s">
        <v>12</v>
      </c>
      <c r="D952" t="s">
        <v>23</v>
      </c>
      <c r="E952" t="s">
        <v>25</v>
      </c>
      <c r="F952" t="s">
        <v>31</v>
      </c>
      <c r="G952">
        <v>3575</v>
      </c>
      <c r="H952">
        <v>187</v>
      </c>
      <c r="I952">
        <v>21</v>
      </c>
      <c r="J952" s="5">
        <v>1785</v>
      </c>
      <c r="K952" s="4">
        <v>1275</v>
      </c>
      <c r="L952" s="6">
        <v>45753</v>
      </c>
      <c r="M952" s="7">
        <f t="shared" si="42"/>
        <v>5.2307692307692305E-2</v>
      </c>
      <c r="N952" s="7">
        <f t="shared" si="43"/>
        <v>0.11229946524064172</v>
      </c>
      <c r="O952" s="7">
        <f t="shared" si="44"/>
        <v>0.4</v>
      </c>
    </row>
    <row r="953" spans="1:15" x14ac:dyDescent="0.35">
      <c r="A953">
        <v>952</v>
      </c>
      <c r="B953">
        <v>21</v>
      </c>
      <c r="C953" t="s">
        <v>19</v>
      </c>
      <c r="D953" t="s">
        <v>27</v>
      </c>
      <c r="E953" t="s">
        <v>17</v>
      </c>
      <c r="F953" t="s">
        <v>29</v>
      </c>
      <c r="G953">
        <v>2493</v>
      </c>
      <c r="H953">
        <v>442</v>
      </c>
      <c r="I953">
        <v>25</v>
      </c>
      <c r="J953" s="5">
        <v>4525</v>
      </c>
      <c r="K953" s="4">
        <v>735</v>
      </c>
      <c r="L953" s="6">
        <v>45716</v>
      </c>
      <c r="M953" s="7">
        <f t="shared" si="42"/>
        <v>0.17729643000401124</v>
      </c>
      <c r="N953" s="7">
        <f t="shared" si="43"/>
        <v>5.6561085972850679E-2</v>
      </c>
      <c r="O953" s="7">
        <f t="shared" si="44"/>
        <v>5.1564625850340136</v>
      </c>
    </row>
    <row r="954" spans="1:15" x14ac:dyDescent="0.35">
      <c r="A954">
        <v>953</v>
      </c>
      <c r="B954">
        <v>52</v>
      </c>
      <c r="C954" t="s">
        <v>12</v>
      </c>
      <c r="D954" t="s">
        <v>16</v>
      </c>
      <c r="E954" t="s">
        <v>17</v>
      </c>
      <c r="F954" t="s">
        <v>29</v>
      </c>
      <c r="G954">
        <v>4854</v>
      </c>
      <c r="H954">
        <v>373</v>
      </c>
      <c r="I954">
        <v>44</v>
      </c>
      <c r="J954" s="5">
        <v>5852</v>
      </c>
      <c r="K954" s="4">
        <v>887</v>
      </c>
      <c r="L954" s="6">
        <v>45765</v>
      </c>
      <c r="M954" s="7">
        <f t="shared" si="42"/>
        <v>7.6843840131850027E-2</v>
      </c>
      <c r="N954" s="7">
        <f t="shared" si="43"/>
        <v>0.11796246648793565</v>
      </c>
      <c r="O954" s="7">
        <f t="shared" si="44"/>
        <v>5.5975197294250281</v>
      </c>
    </row>
    <row r="955" spans="1:15" x14ac:dyDescent="0.35">
      <c r="A955">
        <v>954</v>
      </c>
      <c r="B955">
        <v>44</v>
      </c>
      <c r="C955" t="s">
        <v>12</v>
      </c>
      <c r="D955" t="s">
        <v>27</v>
      </c>
      <c r="E955" t="s">
        <v>28</v>
      </c>
      <c r="F955" t="s">
        <v>29</v>
      </c>
      <c r="G955">
        <v>3867</v>
      </c>
      <c r="H955">
        <v>373</v>
      </c>
      <c r="I955">
        <v>50</v>
      </c>
      <c r="J955" s="5">
        <v>4600</v>
      </c>
      <c r="K955" s="4">
        <v>1045</v>
      </c>
      <c r="L955" s="6">
        <v>45674</v>
      </c>
      <c r="M955" s="7">
        <f t="shared" si="42"/>
        <v>9.6457201965347808E-2</v>
      </c>
      <c r="N955" s="7">
        <f t="shared" si="43"/>
        <v>0.13404825737265416</v>
      </c>
      <c r="O955" s="7">
        <f t="shared" si="44"/>
        <v>3.401913875598086</v>
      </c>
    </row>
    <row r="956" spans="1:15" x14ac:dyDescent="0.35">
      <c r="A956">
        <v>955</v>
      </c>
      <c r="B956">
        <v>19</v>
      </c>
      <c r="C956" t="s">
        <v>12</v>
      </c>
      <c r="D956" t="s">
        <v>13</v>
      </c>
      <c r="E956" t="s">
        <v>32</v>
      </c>
      <c r="F956" t="s">
        <v>31</v>
      </c>
      <c r="G956">
        <v>2267</v>
      </c>
      <c r="H956">
        <v>290</v>
      </c>
      <c r="I956">
        <v>6</v>
      </c>
      <c r="J956" s="5">
        <v>936</v>
      </c>
      <c r="K956" s="4">
        <v>1984</v>
      </c>
      <c r="L956" s="6">
        <v>45749</v>
      </c>
      <c r="M956" s="7">
        <f t="shared" si="42"/>
        <v>0.12792236435818263</v>
      </c>
      <c r="N956" s="7">
        <f t="shared" si="43"/>
        <v>2.0689655172413793E-2</v>
      </c>
      <c r="O956" s="7">
        <f t="shared" si="44"/>
        <v>-0.52822580645161288</v>
      </c>
    </row>
    <row r="957" spans="1:15" x14ac:dyDescent="0.35">
      <c r="A957">
        <v>956</v>
      </c>
      <c r="B957">
        <v>29</v>
      </c>
      <c r="C957" t="s">
        <v>12</v>
      </c>
      <c r="D957" t="s">
        <v>23</v>
      </c>
      <c r="E957" t="s">
        <v>17</v>
      </c>
      <c r="F957" t="s">
        <v>15</v>
      </c>
      <c r="G957">
        <v>4766</v>
      </c>
      <c r="H957">
        <v>71</v>
      </c>
      <c r="I957">
        <v>59</v>
      </c>
      <c r="J957" s="5">
        <v>10502</v>
      </c>
      <c r="K957" s="4">
        <v>1034</v>
      </c>
      <c r="L957" s="6">
        <v>45726</v>
      </c>
      <c r="M957" s="7">
        <f t="shared" si="42"/>
        <v>1.4897188417960554E-2</v>
      </c>
      <c r="N957" s="7">
        <f t="shared" si="43"/>
        <v>0.83098591549295775</v>
      </c>
      <c r="O957" s="7">
        <f t="shared" si="44"/>
        <v>9.156673114119922</v>
      </c>
    </row>
    <row r="958" spans="1:15" x14ac:dyDescent="0.35">
      <c r="A958">
        <v>957</v>
      </c>
      <c r="B958">
        <v>29</v>
      </c>
      <c r="C958" t="s">
        <v>19</v>
      </c>
      <c r="D958" t="s">
        <v>27</v>
      </c>
      <c r="E958" t="s">
        <v>17</v>
      </c>
      <c r="F958" t="s">
        <v>29</v>
      </c>
      <c r="G958">
        <v>4186</v>
      </c>
      <c r="H958">
        <v>88</v>
      </c>
      <c r="I958">
        <v>17</v>
      </c>
      <c r="J958" s="5">
        <v>3196</v>
      </c>
      <c r="K958" s="4">
        <v>892</v>
      </c>
      <c r="L958" s="6">
        <v>45731</v>
      </c>
      <c r="M958" s="7">
        <f t="shared" si="42"/>
        <v>2.10224558050645E-2</v>
      </c>
      <c r="N958" s="7">
        <f t="shared" si="43"/>
        <v>0.19318181818181818</v>
      </c>
      <c r="O958" s="7">
        <f t="shared" si="44"/>
        <v>2.5829596412556053</v>
      </c>
    </row>
    <row r="959" spans="1:15" x14ac:dyDescent="0.35">
      <c r="A959">
        <v>958</v>
      </c>
      <c r="B959">
        <v>22</v>
      </c>
      <c r="C959" t="s">
        <v>12</v>
      </c>
      <c r="D959" t="s">
        <v>20</v>
      </c>
      <c r="E959" t="s">
        <v>21</v>
      </c>
      <c r="F959" t="s">
        <v>22</v>
      </c>
      <c r="G959">
        <v>4457</v>
      </c>
      <c r="H959">
        <v>385</v>
      </c>
      <c r="I959">
        <v>49</v>
      </c>
      <c r="J959" s="5">
        <v>4018</v>
      </c>
      <c r="K959" s="4">
        <v>1770</v>
      </c>
      <c r="L959" s="6">
        <v>45668</v>
      </c>
      <c r="M959" s="7">
        <f t="shared" si="42"/>
        <v>8.6380973749158624E-2</v>
      </c>
      <c r="N959" s="7">
        <f t="shared" si="43"/>
        <v>0.12727272727272726</v>
      </c>
      <c r="O959" s="7">
        <f t="shared" si="44"/>
        <v>1.2700564971751414</v>
      </c>
    </row>
    <row r="960" spans="1:15" x14ac:dyDescent="0.35">
      <c r="A960">
        <v>959</v>
      </c>
      <c r="B960">
        <v>20</v>
      </c>
      <c r="C960" t="s">
        <v>19</v>
      </c>
      <c r="D960" t="s">
        <v>13</v>
      </c>
      <c r="E960" t="s">
        <v>17</v>
      </c>
      <c r="F960" t="s">
        <v>29</v>
      </c>
      <c r="G960">
        <v>2417</v>
      </c>
      <c r="H960">
        <v>376</v>
      </c>
      <c r="I960">
        <v>60</v>
      </c>
      <c r="J960" s="5">
        <v>6780</v>
      </c>
      <c r="K960" s="4">
        <v>1339</v>
      </c>
      <c r="L960" s="6">
        <v>45688</v>
      </c>
      <c r="M960" s="7">
        <f t="shared" si="42"/>
        <v>0.15556474968969797</v>
      </c>
      <c r="N960" s="7">
        <f t="shared" si="43"/>
        <v>0.15957446808510639</v>
      </c>
      <c r="O960" s="7">
        <f t="shared" si="44"/>
        <v>4.0634802091112769</v>
      </c>
    </row>
    <row r="961" spans="1:15" x14ac:dyDescent="0.35">
      <c r="A961">
        <v>960</v>
      </c>
      <c r="B961">
        <v>37</v>
      </c>
      <c r="C961" t="s">
        <v>12</v>
      </c>
      <c r="D961" t="s">
        <v>16</v>
      </c>
      <c r="E961" t="s">
        <v>30</v>
      </c>
      <c r="F961" t="s">
        <v>29</v>
      </c>
      <c r="G961">
        <v>4576</v>
      </c>
      <c r="H961">
        <v>115</v>
      </c>
      <c r="I961">
        <v>74</v>
      </c>
      <c r="J961" s="5">
        <v>8214</v>
      </c>
      <c r="K961" s="4">
        <v>646</v>
      </c>
      <c r="L961" s="6">
        <v>45755</v>
      </c>
      <c r="M961" s="7">
        <f t="shared" si="42"/>
        <v>2.513111888111888E-2</v>
      </c>
      <c r="N961" s="7">
        <f t="shared" si="43"/>
        <v>0.64347826086956517</v>
      </c>
      <c r="O961" s="7">
        <f t="shared" si="44"/>
        <v>11.715170278637771</v>
      </c>
    </row>
    <row r="962" spans="1:15" x14ac:dyDescent="0.35">
      <c r="A962">
        <v>961</v>
      </c>
      <c r="B962">
        <v>23</v>
      </c>
      <c r="C962" t="s">
        <v>12</v>
      </c>
      <c r="D962" t="s">
        <v>23</v>
      </c>
      <c r="E962" t="s">
        <v>14</v>
      </c>
      <c r="F962" t="s">
        <v>22</v>
      </c>
      <c r="G962">
        <v>3258</v>
      </c>
      <c r="H962">
        <v>88</v>
      </c>
      <c r="I962">
        <v>21</v>
      </c>
      <c r="J962" s="5">
        <v>1890</v>
      </c>
      <c r="K962" s="4">
        <v>1780</v>
      </c>
      <c r="L962" s="6">
        <v>45748</v>
      </c>
      <c r="M962" s="7">
        <f t="shared" si="42"/>
        <v>2.7010435850214856E-2</v>
      </c>
      <c r="N962" s="7">
        <f t="shared" si="43"/>
        <v>0.23863636363636365</v>
      </c>
      <c r="O962" s="7">
        <f t="shared" si="44"/>
        <v>6.1797752808988762E-2</v>
      </c>
    </row>
    <row r="963" spans="1:15" x14ac:dyDescent="0.35">
      <c r="A963">
        <v>962</v>
      </c>
      <c r="B963">
        <v>42</v>
      </c>
      <c r="C963" t="s">
        <v>12</v>
      </c>
      <c r="D963" t="s">
        <v>13</v>
      </c>
      <c r="E963" t="s">
        <v>34</v>
      </c>
      <c r="F963" t="s">
        <v>31</v>
      </c>
      <c r="G963">
        <v>1593</v>
      </c>
      <c r="H963">
        <v>215</v>
      </c>
      <c r="I963">
        <v>6</v>
      </c>
      <c r="J963" s="5">
        <v>978</v>
      </c>
      <c r="K963" s="4">
        <v>413</v>
      </c>
      <c r="L963" s="6">
        <v>45750</v>
      </c>
      <c r="M963" s="7">
        <f t="shared" ref="M963:M1001" si="45">H963/G963</f>
        <v>0.13496547394852479</v>
      </c>
      <c r="N963" s="7">
        <f t="shared" ref="N963:N1001" si="46">I963/H963</f>
        <v>2.7906976744186046E-2</v>
      </c>
      <c r="O963" s="7">
        <f t="shared" ref="O963:O1001" si="47">(J963-K963)/K963</f>
        <v>1.3680387409200969</v>
      </c>
    </row>
    <row r="964" spans="1:15" x14ac:dyDescent="0.35">
      <c r="A964">
        <v>963</v>
      </c>
      <c r="B964">
        <v>39</v>
      </c>
      <c r="C964" t="s">
        <v>12</v>
      </c>
      <c r="D964" t="s">
        <v>20</v>
      </c>
      <c r="E964" t="s">
        <v>33</v>
      </c>
      <c r="F964" t="s">
        <v>31</v>
      </c>
      <c r="G964">
        <v>2107</v>
      </c>
      <c r="H964">
        <v>214</v>
      </c>
      <c r="I964">
        <v>53</v>
      </c>
      <c r="J964" s="5">
        <v>5936</v>
      </c>
      <c r="K964" s="4">
        <v>1275</v>
      </c>
      <c r="L964" s="6">
        <v>45768</v>
      </c>
      <c r="M964" s="7">
        <f t="shared" si="45"/>
        <v>0.10156620787850024</v>
      </c>
      <c r="N964" s="7">
        <f t="shared" si="46"/>
        <v>0.24766355140186916</v>
      </c>
      <c r="O964" s="7">
        <f t="shared" si="47"/>
        <v>3.655686274509804</v>
      </c>
    </row>
    <row r="965" spans="1:15" x14ac:dyDescent="0.35">
      <c r="A965">
        <v>964</v>
      </c>
      <c r="B965">
        <v>54</v>
      </c>
      <c r="C965" t="s">
        <v>12</v>
      </c>
      <c r="D965" t="s">
        <v>13</v>
      </c>
      <c r="E965" t="s">
        <v>24</v>
      </c>
      <c r="F965" t="s">
        <v>22</v>
      </c>
      <c r="G965">
        <v>2680</v>
      </c>
      <c r="H965">
        <v>323</v>
      </c>
      <c r="I965">
        <v>42</v>
      </c>
      <c r="J965" s="5">
        <v>8232</v>
      </c>
      <c r="K965" s="4">
        <v>1597</v>
      </c>
      <c r="L965" s="6">
        <v>45752</v>
      </c>
      <c r="M965" s="7">
        <f t="shared" si="45"/>
        <v>0.12052238805970149</v>
      </c>
      <c r="N965" s="7">
        <f t="shared" si="46"/>
        <v>0.13003095975232198</v>
      </c>
      <c r="O965" s="7">
        <f t="shared" si="47"/>
        <v>4.1546649968691298</v>
      </c>
    </row>
    <row r="966" spans="1:15" x14ac:dyDescent="0.35">
      <c r="A966">
        <v>965</v>
      </c>
      <c r="B966">
        <v>35</v>
      </c>
      <c r="C966" t="s">
        <v>12</v>
      </c>
      <c r="D966" t="s">
        <v>27</v>
      </c>
      <c r="E966" t="s">
        <v>14</v>
      </c>
      <c r="F966" t="s">
        <v>18</v>
      </c>
      <c r="G966">
        <v>1331</v>
      </c>
      <c r="H966">
        <v>187</v>
      </c>
      <c r="I966">
        <v>46</v>
      </c>
      <c r="J966" s="5">
        <v>5842</v>
      </c>
      <c r="K966" s="4">
        <v>1858</v>
      </c>
      <c r="L966" s="6">
        <v>45754</v>
      </c>
      <c r="M966" s="7">
        <f t="shared" si="45"/>
        <v>0.14049586776859505</v>
      </c>
      <c r="N966" s="7">
        <f t="shared" si="46"/>
        <v>0.24598930481283424</v>
      </c>
      <c r="O966" s="7">
        <f t="shared" si="47"/>
        <v>2.1442411194833153</v>
      </c>
    </row>
    <row r="967" spans="1:15" x14ac:dyDescent="0.35">
      <c r="A967">
        <v>966</v>
      </c>
      <c r="B967">
        <v>19</v>
      </c>
      <c r="C967" t="s">
        <v>19</v>
      </c>
      <c r="D967" t="s">
        <v>20</v>
      </c>
      <c r="E967" t="s">
        <v>30</v>
      </c>
      <c r="F967" t="s">
        <v>18</v>
      </c>
      <c r="G967">
        <v>2563</v>
      </c>
      <c r="H967">
        <v>359</v>
      </c>
      <c r="I967">
        <v>39</v>
      </c>
      <c r="J967" s="5">
        <v>4173</v>
      </c>
      <c r="K967" s="4">
        <v>1833</v>
      </c>
      <c r="L967" s="6">
        <v>45737</v>
      </c>
      <c r="M967" s="7">
        <f t="shared" si="45"/>
        <v>0.14007023019898557</v>
      </c>
      <c r="N967" s="7">
        <f t="shared" si="46"/>
        <v>0.10863509749303621</v>
      </c>
      <c r="O967" s="7">
        <f t="shared" si="47"/>
        <v>1.2765957446808511</v>
      </c>
    </row>
    <row r="968" spans="1:15" x14ac:dyDescent="0.35">
      <c r="A968">
        <v>967</v>
      </c>
      <c r="B968">
        <v>37</v>
      </c>
      <c r="C968" t="s">
        <v>19</v>
      </c>
      <c r="D968" t="s">
        <v>13</v>
      </c>
      <c r="E968" t="s">
        <v>17</v>
      </c>
      <c r="F968" t="s">
        <v>31</v>
      </c>
      <c r="G968">
        <v>3946</v>
      </c>
      <c r="H968">
        <v>141</v>
      </c>
      <c r="I968">
        <v>57</v>
      </c>
      <c r="J968" s="5">
        <v>7068</v>
      </c>
      <c r="K968" s="4">
        <v>942</v>
      </c>
      <c r="L968" s="6">
        <v>45718</v>
      </c>
      <c r="M968" s="7">
        <f t="shared" si="45"/>
        <v>3.5732387227572222E-2</v>
      </c>
      <c r="N968" s="7">
        <f t="shared" si="46"/>
        <v>0.40425531914893614</v>
      </c>
      <c r="O968" s="7">
        <f t="shared" si="47"/>
        <v>6.5031847133757958</v>
      </c>
    </row>
    <row r="969" spans="1:15" x14ac:dyDescent="0.35">
      <c r="A969">
        <v>968</v>
      </c>
      <c r="B969">
        <v>22</v>
      </c>
      <c r="C969" t="s">
        <v>19</v>
      </c>
      <c r="D969" t="s">
        <v>13</v>
      </c>
      <c r="E969" t="s">
        <v>14</v>
      </c>
      <c r="F969" t="s">
        <v>29</v>
      </c>
      <c r="G969">
        <v>4433</v>
      </c>
      <c r="H969">
        <v>363</v>
      </c>
      <c r="I969">
        <v>31</v>
      </c>
      <c r="J969" s="5">
        <v>2666</v>
      </c>
      <c r="K969" s="4">
        <v>327</v>
      </c>
      <c r="L969" s="6">
        <v>45749</v>
      </c>
      <c r="M969" s="7">
        <f t="shared" si="45"/>
        <v>8.1885856079404462E-2</v>
      </c>
      <c r="N969" s="7">
        <f t="shared" si="46"/>
        <v>8.5399449035812675E-2</v>
      </c>
      <c r="O969" s="7">
        <f t="shared" si="47"/>
        <v>7.1529051987767582</v>
      </c>
    </row>
    <row r="970" spans="1:15" x14ac:dyDescent="0.35">
      <c r="A970">
        <v>969</v>
      </c>
      <c r="B970">
        <v>36</v>
      </c>
      <c r="C970" t="s">
        <v>12</v>
      </c>
      <c r="D970" t="s">
        <v>20</v>
      </c>
      <c r="E970" t="s">
        <v>30</v>
      </c>
      <c r="F970" t="s">
        <v>15</v>
      </c>
      <c r="G970">
        <v>4136</v>
      </c>
      <c r="H970">
        <v>448</v>
      </c>
      <c r="I970">
        <v>30</v>
      </c>
      <c r="J970" s="5">
        <v>5220</v>
      </c>
      <c r="K970" s="4">
        <v>759</v>
      </c>
      <c r="L970" s="6">
        <v>45721</v>
      </c>
      <c r="M970" s="7">
        <f t="shared" si="45"/>
        <v>0.10831721470019343</v>
      </c>
      <c r="N970" s="7">
        <f t="shared" si="46"/>
        <v>6.6964285714285712E-2</v>
      </c>
      <c r="O970" s="7">
        <f t="shared" si="47"/>
        <v>5.8774703557312256</v>
      </c>
    </row>
    <row r="971" spans="1:15" x14ac:dyDescent="0.35">
      <c r="A971">
        <v>970</v>
      </c>
      <c r="B971">
        <v>20</v>
      </c>
      <c r="C971" t="s">
        <v>19</v>
      </c>
      <c r="D971" t="s">
        <v>20</v>
      </c>
      <c r="E971" t="s">
        <v>17</v>
      </c>
      <c r="F971" t="s">
        <v>18</v>
      </c>
      <c r="G971">
        <v>848</v>
      </c>
      <c r="H971">
        <v>231</v>
      </c>
      <c r="I971">
        <v>55</v>
      </c>
      <c r="J971" s="5">
        <v>4565</v>
      </c>
      <c r="K971" s="4">
        <v>1262</v>
      </c>
      <c r="L971" s="6">
        <v>45721</v>
      </c>
      <c r="M971" s="7">
        <f t="shared" si="45"/>
        <v>0.27240566037735847</v>
      </c>
      <c r="N971" s="7">
        <f t="shared" si="46"/>
        <v>0.23809523809523808</v>
      </c>
      <c r="O971" s="7">
        <f t="shared" si="47"/>
        <v>2.6172741679873219</v>
      </c>
    </row>
    <row r="972" spans="1:15" x14ac:dyDescent="0.35">
      <c r="A972">
        <v>971</v>
      </c>
      <c r="B972">
        <v>28</v>
      </c>
      <c r="C972" t="s">
        <v>19</v>
      </c>
      <c r="D972" t="s">
        <v>26</v>
      </c>
      <c r="E972" t="s">
        <v>34</v>
      </c>
      <c r="F972" t="s">
        <v>18</v>
      </c>
      <c r="G972">
        <v>4624</v>
      </c>
      <c r="H972">
        <v>421</v>
      </c>
      <c r="I972">
        <v>15</v>
      </c>
      <c r="J972" s="5">
        <v>2715</v>
      </c>
      <c r="K972" s="4">
        <v>296</v>
      </c>
      <c r="L972" s="6">
        <v>45678</v>
      </c>
      <c r="M972" s="7">
        <f t="shared" si="45"/>
        <v>9.1046712802768159E-2</v>
      </c>
      <c r="N972" s="7">
        <f t="shared" si="46"/>
        <v>3.5629453681710214E-2</v>
      </c>
      <c r="O972" s="7">
        <f t="shared" si="47"/>
        <v>8.1722972972972965</v>
      </c>
    </row>
    <row r="973" spans="1:15" x14ac:dyDescent="0.35">
      <c r="A973">
        <v>972</v>
      </c>
      <c r="B973">
        <v>28</v>
      </c>
      <c r="C973" t="s">
        <v>12</v>
      </c>
      <c r="D973" t="s">
        <v>16</v>
      </c>
      <c r="E973" t="s">
        <v>33</v>
      </c>
      <c r="F973" t="s">
        <v>15</v>
      </c>
      <c r="G973">
        <v>1625</v>
      </c>
      <c r="H973">
        <v>95</v>
      </c>
      <c r="I973">
        <v>70</v>
      </c>
      <c r="J973" s="5">
        <v>8050</v>
      </c>
      <c r="K973" s="4">
        <v>802</v>
      </c>
      <c r="L973" s="6">
        <v>45722</v>
      </c>
      <c r="M973" s="7">
        <f t="shared" si="45"/>
        <v>5.8461538461538461E-2</v>
      </c>
      <c r="N973" s="7">
        <f t="shared" si="46"/>
        <v>0.73684210526315785</v>
      </c>
      <c r="O973" s="7">
        <f t="shared" si="47"/>
        <v>9.037406483790523</v>
      </c>
    </row>
    <row r="974" spans="1:15" x14ac:dyDescent="0.35">
      <c r="A974">
        <v>973</v>
      </c>
      <c r="B974">
        <v>18</v>
      </c>
      <c r="C974" t="s">
        <v>12</v>
      </c>
      <c r="D974" t="s">
        <v>13</v>
      </c>
      <c r="E974" t="s">
        <v>30</v>
      </c>
      <c r="F974" t="s">
        <v>18</v>
      </c>
      <c r="G974">
        <v>946</v>
      </c>
      <c r="H974">
        <v>148</v>
      </c>
      <c r="I974">
        <v>39</v>
      </c>
      <c r="J974" s="5">
        <v>4173</v>
      </c>
      <c r="K974" s="4">
        <v>870</v>
      </c>
      <c r="L974" s="6">
        <v>45700</v>
      </c>
      <c r="M974" s="7">
        <f t="shared" si="45"/>
        <v>0.15644820295983086</v>
      </c>
      <c r="N974" s="7">
        <f t="shared" si="46"/>
        <v>0.26351351351351349</v>
      </c>
      <c r="O974" s="7">
        <f t="shared" si="47"/>
        <v>3.796551724137931</v>
      </c>
    </row>
    <row r="975" spans="1:15" x14ac:dyDescent="0.35">
      <c r="A975">
        <v>974</v>
      </c>
      <c r="B975">
        <v>27</v>
      </c>
      <c r="C975" t="s">
        <v>12</v>
      </c>
      <c r="D975" t="s">
        <v>16</v>
      </c>
      <c r="E975" t="s">
        <v>25</v>
      </c>
      <c r="F975" t="s">
        <v>29</v>
      </c>
      <c r="G975">
        <v>1095</v>
      </c>
      <c r="H975">
        <v>240</v>
      </c>
      <c r="I975">
        <v>55</v>
      </c>
      <c r="J975" s="5">
        <v>10285</v>
      </c>
      <c r="K975" s="4">
        <v>409</v>
      </c>
      <c r="L975" s="6">
        <v>45666</v>
      </c>
      <c r="M975" s="7">
        <f t="shared" si="45"/>
        <v>0.21917808219178081</v>
      </c>
      <c r="N975" s="7">
        <f t="shared" si="46"/>
        <v>0.22916666666666666</v>
      </c>
      <c r="O975" s="7">
        <f t="shared" si="47"/>
        <v>24.146699266503667</v>
      </c>
    </row>
    <row r="976" spans="1:15" x14ac:dyDescent="0.35">
      <c r="A976">
        <v>975</v>
      </c>
      <c r="B976">
        <v>29</v>
      </c>
      <c r="C976" t="s">
        <v>19</v>
      </c>
      <c r="D976" t="s">
        <v>20</v>
      </c>
      <c r="E976" t="s">
        <v>32</v>
      </c>
      <c r="F976" t="s">
        <v>15</v>
      </c>
      <c r="G976">
        <v>4501</v>
      </c>
      <c r="H976">
        <v>237</v>
      </c>
      <c r="I976">
        <v>65</v>
      </c>
      <c r="J976" s="5">
        <v>5785</v>
      </c>
      <c r="K976" s="4">
        <v>1638</v>
      </c>
      <c r="L976" s="6">
        <v>45775</v>
      </c>
      <c r="M976" s="7">
        <f t="shared" si="45"/>
        <v>5.2654965563208173E-2</v>
      </c>
      <c r="N976" s="7">
        <f t="shared" si="46"/>
        <v>0.27426160337552741</v>
      </c>
      <c r="O976" s="7">
        <f t="shared" si="47"/>
        <v>2.5317460317460316</v>
      </c>
    </row>
    <row r="977" spans="1:15" x14ac:dyDescent="0.35">
      <c r="A977">
        <v>976</v>
      </c>
      <c r="B977">
        <v>20</v>
      </c>
      <c r="C977" t="s">
        <v>19</v>
      </c>
      <c r="D977" t="s">
        <v>16</v>
      </c>
      <c r="E977" t="s">
        <v>21</v>
      </c>
      <c r="F977" t="s">
        <v>22</v>
      </c>
      <c r="G977">
        <v>2632</v>
      </c>
      <c r="H977">
        <v>98</v>
      </c>
      <c r="I977">
        <v>74</v>
      </c>
      <c r="J977" s="5">
        <v>9472</v>
      </c>
      <c r="K977" s="4">
        <v>1207</v>
      </c>
      <c r="L977" s="6">
        <v>45662</v>
      </c>
      <c r="M977" s="7">
        <f t="shared" si="45"/>
        <v>3.7234042553191488E-2</v>
      </c>
      <c r="N977" s="7">
        <f t="shared" si="46"/>
        <v>0.75510204081632648</v>
      </c>
      <c r="O977" s="7">
        <f t="shared" si="47"/>
        <v>6.8475559237779615</v>
      </c>
    </row>
    <row r="978" spans="1:15" x14ac:dyDescent="0.35">
      <c r="A978">
        <v>977</v>
      </c>
      <c r="B978">
        <v>43</v>
      </c>
      <c r="C978" t="s">
        <v>12</v>
      </c>
      <c r="D978" t="s">
        <v>26</v>
      </c>
      <c r="E978" t="s">
        <v>17</v>
      </c>
      <c r="F978" t="s">
        <v>29</v>
      </c>
      <c r="G978">
        <v>1505</v>
      </c>
      <c r="H978">
        <v>267</v>
      </c>
      <c r="I978">
        <v>65</v>
      </c>
      <c r="J978" s="5">
        <v>10985</v>
      </c>
      <c r="K978" s="4">
        <v>1204</v>
      </c>
      <c r="L978" s="6">
        <v>45662</v>
      </c>
      <c r="M978" s="7">
        <f t="shared" si="45"/>
        <v>0.17740863787375416</v>
      </c>
      <c r="N978" s="7">
        <f t="shared" si="46"/>
        <v>0.24344569288389514</v>
      </c>
      <c r="O978" s="7">
        <f t="shared" si="47"/>
        <v>8.1237541528239205</v>
      </c>
    </row>
    <row r="979" spans="1:15" x14ac:dyDescent="0.35">
      <c r="A979">
        <v>978</v>
      </c>
      <c r="B979">
        <v>54</v>
      </c>
      <c r="C979" t="s">
        <v>19</v>
      </c>
      <c r="D979" t="s">
        <v>13</v>
      </c>
      <c r="E979" t="s">
        <v>24</v>
      </c>
      <c r="F979" t="s">
        <v>18</v>
      </c>
      <c r="G979">
        <v>4866</v>
      </c>
      <c r="H979">
        <v>172</v>
      </c>
      <c r="I979">
        <v>20</v>
      </c>
      <c r="J979" s="5">
        <v>1900</v>
      </c>
      <c r="K979" s="4">
        <v>1480</v>
      </c>
      <c r="L979" s="6">
        <v>45709</v>
      </c>
      <c r="M979" s="7">
        <f t="shared" si="45"/>
        <v>3.5347307850390468E-2</v>
      </c>
      <c r="N979" s="7">
        <f t="shared" si="46"/>
        <v>0.11627906976744186</v>
      </c>
      <c r="O979" s="7">
        <f t="shared" si="47"/>
        <v>0.28378378378378377</v>
      </c>
    </row>
    <row r="980" spans="1:15" x14ac:dyDescent="0.35">
      <c r="A980">
        <v>979</v>
      </c>
      <c r="B980">
        <v>19</v>
      </c>
      <c r="C980" t="s">
        <v>19</v>
      </c>
      <c r="D980" t="s">
        <v>20</v>
      </c>
      <c r="E980" t="s">
        <v>28</v>
      </c>
      <c r="F980" t="s">
        <v>18</v>
      </c>
      <c r="G980">
        <v>1024</v>
      </c>
      <c r="H980">
        <v>425</v>
      </c>
      <c r="I980">
        <v>59</v>
      </c>
      <c r="J980" s="5">
        <v>5900</v>
      </c>
      <c r="K980" s="4">
        <v>946</v>
      </c>
      <c r="L980" s="6">
        <v>45684</v>
      </c>
      <c r="M980" s="7">
        <f t="shared" si="45"/>
        <v>0.4150390625</v>
      </c>
      <c r="N980" s="7">
        <f t="shared" si="46"/>
        <v>0.13882352941176471</v>
      </c>
      <c r="O980" s="7">
        <f t="shared" si="47"/>
        <v>5.2367864693446089</v>
      </c>
    </row>
    <row r="981" spans="1:15" x14ac:dyDescent="0.35">
      <c r="A981">
        <v>980</v>
      </c>
      <c r="B981">
        <v>42</v>
      </c>
      <c r="C981" t="s">
        <v>12</v>
      </c>
      <c r="D981" t="s">
        <v>27</v>
      </c>
      <c r="E981" t="s">
        <v>17</v>
      </c>
      <c r="F981" t="s">
        <v>15</v>
      </c>
      <c r="G981">
        <v>4249</v>
      </c>
      <c r="H981">
        <v>139</v>
      </c>
      <c r="I981">
        <v>62</v>
      </c>
      <c r="J981" s="5">
        <v>7750</v>
      </c>
      <c r="K981" s="4">
        <v>557</v>
      </c>
      <c r="L981" s="6">
        <v>45665</v>
      </c>
      <c r="M981" s="7">
        <f t="shared" si="45"/>
        <v>3.2713579665803717E-2</v>
      </c>
      <c r="N981" s="7">
        <f t="shared" si="46"/>
        <v>0.4460431654676259</v>
      </c>
      <c r="O981" s="7">
        <f t="shared" si="47"/>
        <v>12.913824057450629</v>
      </c>
    </row>
    <row r="982" spans="1:15" x14ac:dyDescent="0.35">
      <c r="A982">
        <v>981</v>
      </c>
      <c r="B982">
        <v>38</v>
      </c>
      <c r="C982" t="s">
        <v>19</v>
      </c>
      <c r="D982" t="s">
        <v>20</v>
      </c>
      <c r="E982" t="s">
        <v>17</v>
      </c>
      <c r="F982" t="s">
        <v>29</v>
      </c>
      <c r="G982">
        <v>3770</v>
      </c>
      <c r="H982">
        <v>369</v>
      </c>
      <c r="I982">
        <v>25</v>
      </c>
      <c r="J982" s="5">
        <v>4850</v>
      </c>
      <c r="K982" s="4">
        <v>399</v>
      </c>
      <c r="L982" s="6">
        <v>45677</v>
      </c>
      <c r="M982" s="7">
        <f t="shared" si="45"/>
        <v>9.7877984084880632E-2</v>
      </c>
      <c r="N982" s="7">
        <f t="shared" si="46"/>
        <v>6.7750677506775062E-2</v>
      </c>
      <c r="O982" s="7">
        <f t="shared" si="47"/>
        <v>11.155388471177945</v>
      </c>
    </row>
    <row r="983" spans="1:15" x14ac:dyDescent="0.35">
      <c r="A983">
        <v>982</v>
      </c>
      <c r="B983">
        <v>46</v>
      </c>
      <c r="C983" t="s">
        <v>12</v>
      </c>
      <c r="D983" t="s">
        <v>23</v>
      </c>
      <c r="E983" t="s">
        <v>30</v>
      </c>
      <c r="F983" t="s">
        <v>22</v>
      </c>
      <c r="G983">
        <v>2811</v>
      </c>
      <c r="H983">
        <v>107</v>
      </c>
      <c r="I983">
        <v>50</v>
      </c>
      <c r="J983" s="5">
        <v>9650</v>
      </c>
      <c r="K983" s="4">
        <v>230</v>
      </c>
      <c r="L983" s="6">
        <v>45672</v>
      </c>
      <c r="M983" s="7">
        <f t="shared" si="45"/>
        <v>3.8064745642120243E-2</v>
      </c>
      <c r="N983" s="7">
        <f t="shared" si="46"/>
        <v>0.46728971962616822</v>
      </c>
      <c r="O983" s="7">
        <f t="shared" si="47"/>
        <v>40.956521739130437</v>
      </c>
    </row>
    <row r="984" spans="1:15" x14ac:dyDescent="0.35">
      <c r="A984">
        <v>983</v>
      </c>
      <c r="B984">
        <v>54</v>
      </c>
      <c r="C984" t="s">
        <v>19</v>
      </c>
      <c r="D984" t="s">
        <v>23</v>
      </c>
      <c r="E984" t="s">
        <v>28</v>
      </c>
      <c r="F984" t="s">
        <v>15</v>
      </c>
      <c r="G984">
        <v>1917</v>
      </c>
      <c r="H984">
        <v>334</v>
      </c>
      <c r="I984">
        <v>40</v>
      </c>
      <c r="J984" s="5">
        <v>7520</v>
      </c>
      <c r="K984" s="4">
        <v>1307</v>
      </c>
      <c r="L984" s="6">
        <v>45728</v>
      </c>
      <c r="M984" s="7">
        <f t="shared" si="45"/>
        <v>0.17423056859676578</v>
      </c>
      <c r="N984" s="7">
        <f t="shared" si="46"/>
        <v>0.11976047904191617</v>
      </c>
      <c r="O984" s="7">
        <f t="shared" si="47"/>
        <v>4.7536342769701605</v>
      </c>
    </row>
    <row r="985" spans="1:15" x14ac:dyDescent="0.35">
      <c r="A985">
        <v>984</v>
      </c>
      <c r="B985">
        <v>48</v>
      </c>
      <c r="C985" t="s">
        <v>12</v>
      </c>
      <c r="D985" t="s">
        <v>27</v>
      </c>
      <c r="E985" t="s">
        <v>25</v>
      </c>
      <c r="F985" t="s">
        <v>15</v>
      </c>
      <c r="G985">
        <v>4315</v>
      </c>
      <c r="H985">
        <v>142</v>
      </c>
      <c r="I985">
        <v>32</v>
      </c>
      <c r="J985" s="5">
        <v>3744</v>
      </c>
      <c r="K985" s="4">
        <v>631</v>
      </c>
      <c r="L985" s="6">
        <v>45754</v>
      </c>
      <c r="M985" s="7">
        <f t="shared" si="45"/>
        <v>3.2908458864426421E-2</v>
      </c>
      <c r="N985" s="7">
        <f t="shared" si="46"/>
        <v>0.22535211267605634</v>
      </c>
      <c r="O985" s="7">
        <f t="shared" si="47"/>
        <v>4.9334389857369256</v>
      </c>
    </row>
    <row r="986" spans="1:15" x14ac:dyDescent="0.35">
      <c r="A986">
        <v>985</v>
      </c>
      <c r="B986">
        <v>25</v>
      </c>
      <c r="C986" t="s">
        <v>12</v>
      </c>
      <c r="D986" t="s">
        <v>20</v>
      </c>
      <c r="E986" t="s">
        <v>14</v>
      </c>
      <c r="F986" t="s">
        <v>15</v>
      </c>
      <c r="G986">
        <v>3820</v>
      </c>
      <c r="H986">
        <v>140</v>
      </c>
      <c r="I986">
        <v>33</v>
      </c>
      <c r="J986" s="5">
        <v>5643</v>
      </c>
      <c r="K986" s="4">
        <v>1187</v>
      </c>
      <c r="L986" s="6">
        <v>45750</v>
      </c>
      <c r="M986" s="7">
        <f t="shared" si="45"/>
        <v>3.6649214659685861E-2</v>
      </c>
      <c r="N986" s="7">
        <f t="shared" si="46"/>
        <v>0.23571428571428571</v>
      </c>
      <c r="O986" s="7">
        <f t="shared" si="47"/>
        <v>3.7540016849199662</v>
      </c>
    </row>
    <row r="987" spans="1:15" x14ac:dyDescent="0.35">
      <c r="A987">
        <v>986</v>
      </c>
      <c r="B987">
        <v>44</v>
      </c>
      <c r="C987" t="s">
        <v>19</v>
      </c>
      <c r="D987" t="s">
        <v>20</v>
      </c>
      <c r="E987" t="s">
        <v>21</v>
      </c>
      <c r="F987" t="s">
        <v>29</v>
      </c>
      <c r="G987">
        <v>3960</v>
      </c>
      <c r="H987">
        <v>91</v>
      </c>
      <c r="I987">
        <v>11</v>
      </c>
      <c r="J987" s="5">
        <v>1265</v>
      </c>
      <c r="K987" s="4">
        <v>1265</v>
      </c>
      <c r="L987" s="6">
        <v>45703</v>
      </c>
      <c r="M987" s="7">
        <f t="shared" si="45"/>
        <v>2.2979797979797979E-2</v>
      </c>
      <c r="N987" s="7">
        <f t="shared" si="46"/>
        <v>0.12087912087912088</v>
      </c>
      <c r="O987" s="7">
        <f t="shared" si="47"/>
        <v>0</v>
      </c>
    </row>
    <row r="988" spans="1:15" x14ac:dyDescent="0.35">
      <c r="A988">
        <v>987</v>
      </c>
      <c r="B988">
        <v>40</v>
      </c>
      <c r="C988" t="s">
        <v>12</v>
      </c>
      <c r="D988" t="s">
        <v>20</v>
      </c>
      <c r="E988" t="s">
        <v>21</v>
      </c>
      <c r="F988" t="s">
        <v>29</v>
      </c>
      <c r="G988">
        <v>3381</v>
      </c>
      <c r="H988">
        <v>74</v>
      </c>
      <c r="I988">
        <v>77</v>
      </c>
      <c r="J988" s="5">
        <v>6160</v>
      </c>
      <c r="K988" s="4">
        <v>1122</v>
      </c>
      <c r="L988" s="6">
        <v>45699</v>
      </c>
      <c r="M988" s="7">
        <f t="shared" si="45"/>
        <v>2.188701567583555E-2</v>
      </c>
      <c r="N988" s="7">
        <f t="shared" si="46"/>
        <v>1.0405405405405406</v>
      </c>
      <c r="O988" s="7">
        <f t="shared" si="47"/>
        <v>4.4901960784313726</v>
      </c>
    </row>
    <row r="989" spans="1:15" x14ac:dyDescent="0.35">
      <c r="A989">
        <v>988</v>
      </c>
      <c r="B989">
        <v>23</v>
      </c>
      <c r="C989" t="s">
        <v>19</v>
      </c>
      <c r="D989" t="s">
        <v>16</v>
      </c>
      <c r="E989" t="s">
        <v>21</v>
      </c>
      <c r="F989" t="s">
        <v>15</v>
      </c>
      <c r="G989">
        <v>1447</v>
      </c>
      <c r="H989">
        <v>202</v>
      </c>
      <c r="I989">
        <v>58</v>
      </c>
      <c r="J989" s="5">
        <v>8468</v>
      </c>
      <c r="K989" s="4">
        <v>1348</v>
      </c>
      <c r="L989" s="6">
        <v>45727</v>
      </c>
      <c r="M989" s="7">
        <f t="shared" si="45"/>
        <v>0.13959917069799585</v>
      </c>
      <c r="N989" s="7">
        <f t="shared" si="46"/>
        <v>0.28712871287128711</v>
      </c>
      <c r="O989" s="7">
        <f t="shared" si="47"/>
        <v>5.2818991097922847</v>
      </c>
    </row>
    <row r="990" spans="1:15" x14ac:dyDescent="0.35">
      <c r="A990">
        <v>989</v>
      </c>
      <c r="B990">
        <v>40</v>
      </c>
      <c r="C990" t="s">
        <v>19</v>
      </c>
      <c r="D990" t="s">
        <v>13</v>
      </c>
      <c r="E990" t="s">
        <v>33</v>
      </c>
      <c r="F990" t="s">
        <v>15</v>
      </c>
      <c r="G990">
        <v>1064</v>
      </c>
      <c r="H990">
        <v>115</v>
      </c>
      <c r="I990">
        <v>62</v>
      </c>
      <c r="J990" s="5">
        <v>9982</v>
      </c>
      <c r="K990" s="4">
        <v>705</v>
      </c>
      <c r="L990" s="6">
        <v>45733</v>
      </c>
      <c r="M990" s="7">
        <f t="shared" si="45"/>
        <v>0.10808270676691729</v>
      </c>
      <c r="N990" s="7">
        <f t="shared" si="46"/>
        <v>0.53913043478260869</v>
      </c>
      <c r="O990" s="7">
        <f t="shared" si="47"/>
        <v>13.158865248226951</v>
      </c>
    </row>
    <row r="991" spans="1:15" x14ac:dyDescent="0.35">
      <c r="A991">
        <v>990</v>
      </c>
      <c r="B991">
        <v>18</v>
      </c>
      <c r="C991" t="s">
        <v>19</v>
      </c>
      <c r="D991" t="s">
        <v>20</v>
      </c>
      <c r="E991" t="s">
        <v>34</v>
      </c>
      <c r="F991" t="s">
        <v>15</v>
      </c>
      <c r="G991">
        <v>1304</v>
      </c>
      <c r="H991">
        <v>453</v>
      </c>
      <c r="I991">
        <v>28</v>
      </c>
      <c r="J991" s="5">
        <v>4564</v>
      </c>
      <c r="K991" s="4">
        <v>1591</v>
      </c>
      <c r="L991" s="6">
        <v>45738</v>
      </c>
      <c r="M991" s="7">
        <f t="shared" si="45"/>
        <v>0.34739263803680981</v>
      </c>
      <c r="N991" s="7">
        <f t="shared" si="46"/>
        <v>6.1810154525386317E-2</v>
      </c>
      <c r="O991" s="7">
        <f t="shared" si="47"/>
        <v>1.8686360779384035</v>
      </c>
    </row>
    <row r="992" spans="1:15" x14ac:dyDescent="0.35">
      <c r="A992">
        <v>991</v>
      </c>
      <c r="B992">
        <v>28</v>
      </c>
      <c r="C992" t="s">
        <v>19</v>
      </c>
      <c r="D992" t="s">
        <v>26</v>
      </c>
      <c r="E992" t="s">
        <v>17</v>
      </c>
      <c r="F992" t="s">
        <v>29</v>
      </c>
      <c r="G992">
        <v>4049</v>
      </c>
      <c r="H992">
        <v>154</v>
      </c>
      <c r="I992">
        <v>7</v>
      </c>
      <c r="J992" s="5">
        <v>938</v>
      </c>
      <c r="K992" s="4">
        <v>245</v>
      </c>
      <c r="L992" s="6">
        <v>45743</v>
      </c>
      <c r="M992" s="7">
        <f t="shared" si="45"/>
        <v>3.803408248950358E-2</v>
      </c>
      <c r="N992" s="7">
        <f t="shared" si="46"/>
        <v>4.5454545454545456E-2</v>
      </c>
      <c r="O992" s="7">
        <f t="shared" si="47"/>
        <v>2.8285714285714287</v>
      </c>
    </row>
    <row r="993" spans="1:15" x14ac:dyDescent="0.35">
      <c r="A993">
        <v>992</v>
      </c>
      <c r="B993">
        <v>52</v>
      </c>
      <c r="C993" t="s">
        <v>12</v>
      </c>
      <c r="D993" t="s">
        <v>16</v>
      </c>
      <c r="E993" t="s">
        <v>17</v>
      </c>
      <c r="F993" t="s">
        <v>31</v>
      </c>
      <c r="G993">
        <v>2336</v>
      </c>
      <c r="H993">
        <v>459</v>
      </c>
      <c r="I993">
        <v>69</v>
      </c>
      <c r="J993" s="5">
        <v>10557</v>
      </c>
      <c r="K993" s="4">
        <v>735</v>
      </c>
      <c r="L993" s="6">
        <v>45685</v>
      </c>
      <c r="M993" s="7">
        <f t="shared" si="45"/>
        <v>0.19648972602739725</v>
      </c>
      <c r="N993" s="7">
        <f t="shared" si="46"/>
        <v>0.15032679738562091</v>
      </c>
      <c r="O993" s="7">
        <f t="shared" si="47"/>
        <v>13.363265306122448</v>
      </c>
    </row>
    <row r="994" spans="1:15" x14ac:dyDescent="0.35">
      <c r="A994">
        <v>993</v>
      </c>
      <c r="B994">
        <v>32</v>
      </c>
      <c r="C994" t="s">
        <v>12</v>
      </c>
      <c r="D994" t="s">
        <v>27</v>
      </c>
      <c r="E994" t="s">
        <v>30</v>
      </c>
      <c r="F994" t="s">
        <v>22</v>
      </c>
      <c r="G994">
        <v>2007</v>
      </c>
      <c r="H994">
        <v>65</v>
      </c>
      <c r="I994">
        <v>63</v>
      </c>
      <c r="J994" s="5">
        <v>8379</v>
      </c>
      <c r="K994" s="4">
        <v>442</v>
      </c>
      <c r="L994" s="6">
        <v>45755</v>
      </c>
      <c r="M994" s="7">
        <f t="shared" si="45"/>
        <v>3.2386646736422518E-2</v>
      </c>
      <c r="N994" s="7">
        <f t="shared" si="46"/>
        <v>0.96923076923076923</v>
      </c>
      <c r="O994" s="7">
        <f t="shared" si="47"/>
        <v>17.957013574660632</v>
      </c>
    </row>
    <row r="995" spans="1:15" x14ac:dyDescent="0.35">
      <c r="A995">
        <v>994</v>
      </c>
      <c r="B995">
        <v>52</v>
      </c>
      <c r="C995" t="s">
        <v>19</v>
      </c>
      <c r="D995" t="s">
        <v>20</v>
      </c>
      <c r="E995" t="s">
        <v>21</v>
      </c>
      <c r="F995" t="s">
        <v>22</v>
      </c>
      <c r="G995">
        <v>3252</v>
      </c>
      <c r="H995">
        <v>384</v>
      </c>
      <c r="I995">
        <v>72</v>
      </c>
      <c r="J995" s="5">
        <v>10656</v>
      </c>
      <c r="K995" s="4">
        <v>1522</v>
      </c>
      <c r="L995" s="6">
        <v>45732</v>
      </c>
      <c r="M995" s="7">
        <f t="shared" si="45"/>
        <v>0.11808118081180811</v>
      </c>
      <c r="N995" s="7">
        <f t="shared" si="46"/>
        <v>0.1875</v>
      </c>
      <c r="O995" s="7">
        <f t="shared" si="47"/>
        <v>6.0013140604467807</v>
      </c>
    </row>
    <row r="996" spans="1:15" x14ac:dyDescent="0.35">
      <c r="A996">
        <v>995</v>
      </c>
      <c r="B996">
        <v>40</v>
      </c>
      <c r="C996" t="s">
        <v>12</v>
      </c>
      <c r="D996" t="s">
        <v>20</v>
      </c>
      <c r="E996" t="s">
        <v>14</v>
      </c>
      <c r="F996" t="s">
        <v>22</v>
      </c>
      <c r="G996">
        <v>2005</v>
      </c>
      <c r="H996">
        <v>152</v>
      </c>
      <c r="I996">
        <v>45</v>
      </c>
      <c r="J996" s="5">
        <v>5805</v>
      </c>
      <c r="K996" s="4">
        <v>1201</v>
      </c>
      <c r="L996" s="6">
        <v>45716</v>
      </c>
      <c r="M996" s="7">
        <f t="shared" si="45"/>
        <v>7.5810473815461341E-2</v>
      </c>
      <c r="N996" s="7">
        <f t="shared" si="46"/>
        <v>0.29605263157894735</v>
      </c>
      <c r="O996" s="7">
        <f t="shared" si="47"/>
        <v>3.8334721065778519</v>
      </c>
    </row>
    <row r="997" spans="1:15" x14ac:dyDescent="0.35">
      <c r="A997">
        <v>996</v>
      </c>
      <c r="B997">
        <v>50</v>
      </c>
      <c r="C997" t="s">
        <v>12</v>
      </c>
      <c r="D997" t="s">
        <v>20</v>
      </c>
      <c r="E997" t="s">
        <v>25</v>
      </c>
      <c r="F997" t="s">
        <v>22</v>
      </c>
      <c r="G997">
        <v>4854</v>
      </c>
      <c r="H997">
        <v>253</v>
      </c>
      <c r="I997">
        <v>11</v>
      </c>
      <c r="J997" s="5">
        <v>1155</v>
      </c>
      <c r="K997" s="4">
        <v>248</v>
      </c>
      <c r="L997" s="6">
        <v>45705</v>
      </c>
      <c r="M997" s="7">
        <f t="shared" si="45"/>
        <v>5.2121961269056445E-2</v>
      </c>
      <c r="N997" s="7">
        <f t="shared" si="46"/>
        <v>4.3478260869565216E-2</v>
      </c>
      <c r="O997" s="7">
        <f t="shared" si="47"/>
        <v>3.657258064516129</v>
      </c>
    </row>
    <row r="998" spans="1:15" x14ac:dyDescent="0.35">
      <c r="A998">
        <v>997</v>
      </c>
      <c r="B998">
        <v>53</v>
      </c>
      <c r="C998" t="s">
        <v>19</v>
      </c>
      <c r="D998" t="s">
        <v>27</v>
      </c>
      <c r="E998" t="s">
        <v>34</v>
      </c>
      <c r="F998" t="s">
        <v>22</v>
      </c>
      <c r="G998">
        <v>3002</v>
      </c>
      <c r="H998">
        <v>465</v>
      </c>
      <c r="I998">
        <v>8</v>
      </c>
      <c r="J998" s="5">
        <v>1544</v>
      </c>
      <c r="K998" s="4">
        <v>475</v>
      </c>
      <c r="L998" s="6">
        <v>45717</v>
      </c>
      <c r="M998" s="7">
        <f t="shared" si="45"/>
        <v>0.15489673550966024</v>
      </c>
      <c r="N998" s="7">
        <f t="shared" si="46"/>
        <v>1.7204301075268817E-2</v>
      </c>
      <c r="O998" s="7">
        <f t="shared" si="47"/>
        <v>2.2505263157894735</v>
      </c>
    </row>
    <row r="999" spans="1:15" x14ac:dyDescent="0.35">
      <c r="A999">
        <v>998</v>
      </c>
      <c r="B999">
        <v>42</v>
      </c>
      <c r="C999" t="s">
        <v>12</v>
      </c>
      <c r="D999" t="s">
        <v>20</v>
      </c>
      <c r="E999" t="s">
        <v>21</v>
      </c>
      <c r="F999" t="s">
        <v>15</v>
      </c>
      <c r="G999">
        <v>1046</v>
      </c>
      <c r="H999">
        <v>161</v>
      </c>
      <c r="I999">
        <v>34</v>
      </c>
      <c r="J999" s="5">
        <v>3910</v>
      </c>
      <c r="K999" s="4">
        <v>1533</v>
      </c>
      <c r="L999" s="6">
        <v>45740</v>
      </c>
      <c r="M999" s="7">
        <f t="shared" si="45"/>
        <v>0.15391969407265774</v>
      </c>
      <c r="N999" s="7">
        <f t="shared" si="46"/>
        <v>0.21118012422360249</v>
      </c>
      <c r="O999" s="7">
        <f t="shared" si="47"/>
        <v>1.5505544683626875</v>
      </c>
    </row>
    <row r="1000" spans="1:15" x14ac:dyDescent="0.35">
      <c r="A1000">
        <v>999</v>
      </c>
      <c r="B1000">
        <v>54</v>
      </c>
      <c r="C1000" t="s">
        <v>12</v>
      </c>
      <c r="D1000" t="s">
        <v>16</v>
      </c>
      <c r="E1000" t="s">
        <v>25</v>
      </c>
      <c r="F1000" t="s">
        <v>15</v>
      </c>
      <c r="G1000">
        <v>2100</v>
      </c>
      <c r="H1000">
        <v>374</v>
      </c>
      <c r="I1000">
        <v>55</v>
      </c>
      <c r="J1000" s="5">
        <v>9185</v>
      </c>
      <c r="K1000" s="4">
        <v>1757</v>
      </c>
      <c r="L1000" s="6">
        <v>45757</v>
      </c>
      <c r="M1000" s="7">
        <f t="shared" si="45"/>
        <v>0.17809523809523808</v>
      </c>
      <c r="N1000" s="7">
        <f t="shared" si="46"/>
        <v>0.14705882352941177</v>
      </c>
      <c r="O1000" s="7">
        <f t="shared" si="47"/>
        <v>4.2276607854297099</v>
      </c>
    </row>
    <row r="1001" spans="1:15" x14ac:dyDescent="0.35">
      <c r="A1001">
        <v>1000</v>
      </c>
      <c r="B1001">
        <v>33</v>
      </c>
      <c r="C1001" t="s">
        <v>19</v>
      </c>
      <c r="D1001" t="s">
        <v>26</v>
      </c>
      <c r="E1001" t="s">
        <v>30</v>
      </c>
      <c r="F1001" t="s">
        <v>31</v>
      </c>
      <c r="G1001">
        <v>2615</v>
      </c>
      <c r="H1001">
        <v>341</v>
      </c>
      <c r="I1001">
        <v>56</v>
      </c>
      <c r="J1001" s="5">
        <v>9016</v>
      </c>
      <c r="K1001" s="4">
        <v>380</v>
      </c>
      <c r="L1001" s="6">
        <v>45675</v>
      </c>
      <c r="M1001" s="7">
        <f t="shared" si="45"/>
        <v>0.13040152963671128</v>
      </c>
      <c r="N1001" s="7">
        <f t="shared" si="46"/>
        <v>0.16422287390029325</v>
      </c>
      <c r="O1001" s="7">
        <f t="shared" si="47"/>
        <v>22.726315789473684</v>
      </c>
    </row>
  </sheetData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6D37B-0710-48B3-ACB5-61BBC9DB8E11}">
  <dimension ref="A3:B9"/>
  <sheetViews>
    <sheetView tabSelected="1" zoomScale="160" zoomScaleNormal="160" workbookViewId="0">
      <selection activeCell="D5" sqref="D5"/>
    </sheetView>
  </sheetViews>
  <sheetFormatPr defaultRowHeight="14.5" x14ac:dyDescent="0.35"/>
  <cols>
    <col min="1" max="1" width="12.453125" bestFit="1" customWidth="1"/>
    <col min="2" max="2" width="14.36328125" bestFit="1" customWidth="1"/>
  </cols>
  <sheetData>
    <row r="3" spans="1:2" x14ac:dyDescent="0.35">
      <c r="A3" s="2" t="s">
        <v>37</v>
      </c>
      <c r="B3" t="s">
        <v>39</v>
      </c>
    </row>
    <row r="4" spans="1:2" x14ac:dyDescent="0.35">
      <c r="A4" s="3" t="s">
        <v>22</v>
      </c>
      <c r="B4" s="1">
        <v>1150586</v>
      </c>
    </row>
    <row r="5" spans="1:2" x14ac:dyDescent="0.35">
      <c r="A5" s="3" t="s">
        <v>18</v>
      </c>
      <c r="B5" s="1">
        <v>1219867</v>
      </c>
    </row>
    <row r="6" spans="1:2" x14ac:dyDescent="0.35">
      <c r="A6" s="3" t="s">
        <v>29</v>
      </c>
      <c r="B6" s="1">
        <v>1182224</v>
      </c>
    </row>
    <row r="7" spans="1:2" x14ac:dyDescent="0.35">
      <c r="A7" s="3" t="s">
        <v>31</v>
      </c>
      <c r="B7" s="1">
        <v>1149984</v>
      </c>
    </row>
    <row r="8" spans="1:2" x14ac:dyDescent="0.35">
      <c r="A8" s="3" t="s">
        <v>15</v>
      </c>
      <c r="B8" s="1">
        <v>1160920</v>
      </c>
    </row>
    <row r="9" spans="1:2" x14ac:dyDescent="0.35">
      <c r="A9" s="3" t="s">
        <v>38</v>
      </c>
      <c r="B9" s="1">
        <v>5863581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6603C-F2C3-4BFA-BECD-1CFA5F99B9C9}">
  <dimension ref="A3:B6"/>
  <sheetViews>
    <sheetView zoomScale="140" zoomScaleNormal="140" workbookViewId="0">
      <selection activeCell="A3" sqref="A3"/>
    </sheetView>
  </sheetViews>
  <sheetFormatPr defaultRowHeight="14.5" x14ac:dyDescent="0.35"/>
  <cols>
    <col min="1" max="1" width="12.453125" bestFit="1" customWidth="1"/>
    <col min="2" max="2" width="17.54296875" bestFit="1" customWidth="1"/>
  </cols>
  <sheetData>
    <row r="3" spans="1:2" x14ac:dyDescent="0.35">
      <c r="A3" s="2" t="s">
        <v>37</v>
      </c>
      <c r="B3" t="s">
        <v>40</v>
      </c>
    </row>
    <row r="4" spans="1:2" x14ac:dyDescent="0.35">
      <c r="A4" s="3" t="s">
        <v>19</v>
      </c>
      <c r="B4">
        <v>19219</v>
      </c>
    </row>
    <row r="5" spans="1:2" x14ac:dyDescent="0.35">
      <c r="A5" s="3" t="s">
        <v>12</v>
      </c>
      <c r="B5">
        <v>22860</v>
      </c>
    </row>
    <row r="6" spans="1:2" x14ac:dyDescent="0.35">
      <c r="A6" s="3" t="s">
        <v>38</v>
      </c>
      <c r="B6">
        <v>42079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066BE-0E67-4A87-BA81-08A54F78A89F}">
  <dimension ref="A3:B10"/>
  <sheetViews>
    <sheetView zoomScale="130" zoomScaleNormal="130" workbookViewId="0">
      <selection activeCell="L21" sqref="L21"/>
    </sheetView>
  </sheetViews>
  <sheetFormatPr defaultRowHeight="14.5" x14ac:dyDescent="0.35"/>
  <cols>
    <col min="1" max="1" width="12.453125" bestFit="1" customWidth="1"/>
    <col min="2" max="2" width="14.36328125" bestFit="1" customWidth="1"/>
  </cols>
  <sheetData>
    <row r="3" spans="1:2" x14ac:dyDescent="0.35">
      <c r="A3" s="2" t="s">
        <v>37</v>
      </c>
      <c r="B3" t="s">
        <v>39</v>
      </c>
    </row>
    <row r="4" spans="1:2" x14ac:dyDescent="0.35">
      <c r="A4" s="3" t="s">
        <v>26</v>
      </c>
      <c r="B4" s="1">
        <v>876626</v>
      </c>
    </row>
    <row r="5" spans="1:2" x14ac:dyDescent="0.35">
      <c r="A5" s="3" t="s">
        <v>27</v>
      </c>
      <c r="B5" s="1">
        <v>957716</v>
      </c>
    </row>
    <row r="6" spans="1:2" x14ac:dyDescent="0.35">
      <c r="A6" s="3" t="s">
        <v>23</v>
      </c>
      <c r="B6" s="1">
        <v>897840</v>
      </c>
    </row>
    <row r="7" spans="1:2" x14ac:dyDescent="0.35">
      <c r="A7" s="3" t="s">
        <v>20</v>
      </c>
      <c r="B7" s="1">
        <v>1088477</v>
      </c>
    </row>
    <row r="8" spans="1:2" x14ac:dyDescent="0.35">
      <c r="A8" s="3" t="s">
        <v>16</v>
      </c>
      <c r="B8" s="1">
        <v>1079316</v>
      </c>
    </row>
    <row r="9" spans="1:2" x14ac:dyDescent="0.35">
      <c r="A9" s="3" t="s">
        <v>13</v>
      </c>
      <c r="B9" s="1">
        <v>963606</v>
      </c>
    </row>
    <row r="10" spans="1:2" x14ac:dyDescent="0.35">
      <c r="A10" s="3" t="s">
        <v>38</v>
      </c>
      <c r="B10" s="1">
        <v>5863581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marketing_dataset</vt:lpstr>
      <vt:lpstr>Revenue by channel</vt:lpstr>
      <vt:lpstr>Conversions by gender</vt:lpstr>
      <vt:lpstr>Revenue by city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Shruthika Reddy Rachamallu</dc:creator>
  <cp:lastModifiedBy>shruthikareddy99@gmail.com</cp:lastModifiedBy>
  <dcterms:created xsi:type="dcterms:W3CDTF">2026-04-03T13:31:37Z</dcterms:created>
  <dcterms:modified xsi:type="dcterms:W3CDTF">2026-04-05T13:53:56Z</dcterms:modified>
</cp:coreProperties>
</file>